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  <sheet xmlns:r="http://schemas.openxmlformats.org/officeDocument/2006/relationships" name="Doggy" sheetId="2" state="visible" r:id="rId2"/>
    <sheet xmlns:r="http://schemas.openxmlformats.org/officeDocument/2006/relationships" name="G_V1_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;[Red](#,##0);-"/>
    <numFmt numFmtId="166" formatCode="£#,##0.00;[Red](£#,##0.00);-"/>
    <numFmt numFmtId="167" formatCode="0.0000"/>
    <numFmt numFmtId="168" formatCode="#,##0.00;[Red](#,##0.00);-"/>
    <numFmt numFmtId="169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E8EAF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9C4"/>
      </patternFill>
    </fill>
    <fill>
      <patternFill patternType="solid">
        <fgColor rgb="00ECEFF1"/>
      </patternFill>
    </fill>
    <fill>
      <patternFill patternType="solid">
        <fgColor rgb="00F4CCCC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ck">
        <color rgb="007F7F7F"/>
      </top>
      <bottom style="thick">
        <color rgb="007F7F7F"/>
      </bottom>
    </border>
    <border>
      <right style="thick">
        <color rgb="007F7F7F"/>
      </right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3" fillId="5" borderId="0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textRotation="90"/>
    </xf>
    <xf numFmtId="0" fontId="3" fillId="7" borderId="3" applyAlignment="1" pivotButton="0" quotePrefix="0" xfId="0">
      <alignment horizontal="center" vertical="center" textRotation="90"/>
    </xf>
    <xf numFmtId="0" fontId="3" fillId="8" borderId="0" applyAlignment="1" pivotButton="0" quotePrefix="0" xfId="0">
      <alignment horizontal="center" vertical="center" textRotation="90"/>
    </xf>
    <xf numFmtId="0" fontId="3" fillId="8" borderId="3" applyAlignment="1" pivotButton="0" quotePrefix="0" xfId="0">
      <alignment horizontal="center" vertical="center" textRotation="90"/>
    </xf>
    <xf numFmtId="0" fontId="3" fillId="9" borderId="0" applyAlignment="1" pivotButton="0" quotePrefix="0" xfId="0">
      <alignment horizontal="center" vertical="center" textRotation="90"/>
    </xf>
    <xf numFmtId="0" fontId="3" fillId="9" borderId="3" applyAlignment="1" pivotButton="0" quotePrefix="0" xfId="0">
      <alignment horizontal="center" vertical="center" textRotation="90"/>
    </xf>
    <xf numFmtId="0" fontId="3" fillId="10" borderId="0" applyAlignment="1" pivotButton="0" quotePrefix="0" xfId="0">
      <alignment horizontal="center" vertical="center"/>
    </xf>
    <xf numFmtId="0" fontId="0" fillId="13" borderId="2" pivotButton="0" quotePrefix="0" xfId="0"/>
    <xf numFmtId="164" fontId="0" fillId="13" borderId="2" pivotButton="0" quotePrefix="0" xfId="0"/>
    <xf numFmtId="165" fontId="0" fillId="13" borderId="2" pivotButton="0" quotePrefix="0" xfId="0"/>
    <xf numFmtId="166" fontId="0" fillId="6" borderId="2" pivotButton="0" quotePrefix="0" xfId="0"/>
    <xf numFmtId="166" fontId="0" fillId="6" borderId="3" pivotButton="0" quotePrefix="0" xfId="0"/>
    <xf numFmtId="165" fontId="0" fillId="6" borderId="2" pivotButton="0" quotePrefix="0" xfId="0"/>
    <xf numFmtId="167" fontId="0" fillId="6" borderId="2" pivotButton="0" quotePrefix="0" xfId="0"/>
    <xf numFmtId="165" fontId="0" fillId="6" borderId="3" pivotButton="0" quotePrefix="0" xfId="0"/>
    <xf numFmtId="167" fontId="0" fillId="11" borderId="2" pivotButton="0" quotePrefix="0" xfId="0"/>
    <xf numFmtId="168" fontId="0" fillId="11" borderId="2" pivotButton="0" quotePrefix="0" xfId="0"/>
    <xf numFmtId="166" fontId="0" fillId="11" borderId="2" pivotButton="0" quotePrefix="0" xfId="0"/>
    <xf numFmtId="166" fontId="0" fillId="11" borderId="3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67" fontId="0" fillId="11" borderId="1" pivotButton="0" quotePrefix="0" xfId="0"/>
    <xf numFmtId="168" fontId="0" fillId="11" borderId="1" pivotButton="0" quotePrefix="0" xfId="0"/>
    <xf numFmtId="166" fontId="0" fillId="11" borderId="1" pivotButton="0" quotePrefix="0" xfId="0"/>
    <xf numFmtId="0" fontId="0" fillId="12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165" fontId="0" fillId="13" borderId="2" pivotButton="0" quotePrefix="0" xfId="0"/>
    <xf numFmtId="166" fontId="0" fillId="6" borderId="2" pivotButton="0" quotePrefix="0" xfId="0"/>
    <xf numFmtId="166" fontId="0" fillId="6" borderId="3" pivotButton="0" quotePrefix="0" xfId="0"/>
    <xf numFmtId="165" fontId="0" fillId="6" borderId="2" pivotButton="0" quotePrefix="0" xfId="0"/>
    <xf numFmtId="165" fontId="0" fillId="6" borderId="3" pivotButton="0" quotePrefix="0" xfId="0"/>
    <xf numFmtId="166" fontId="0" fillId="11" borderId="1" pivotButton="0" quotePrefix="0" xfId="0"/>
    <xf numFmtId="166" fontId="0" fillId="11" borderId="3" pivotButton="0" quotePrefix="0" xfId="0"/>
    <xf numFmtId="165" fontId="0" fillId="6" borderId="1" pivotButton="0" quotePrefix="0" xfId="0"/>
    <xf numFmtId="166" fontId="0" fillId="6" borderId="1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9D9"/>
        </patternFill>
      </fill>
    </dxf>
    <dxf>
      <fill>
        <patternFill patternType="solid">
          <fgColor rgb="00E2F0D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0"/>
  <sheetViews>
    <sheetView showGridLines="0" workbookViewId="0">
      <pane ySplit="10" topLeftCell="A11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" customWidth="1" min="11" max="11"/>
    <col outlineLevel="1" width="8" customWidth="1" min="12" max="20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9" customWidth="1" min="18" max="18"/>
    <col width="9" customWidth="1" min="19" max="19"/>
    <col width="9" customWidth="1" min="20" max="20"/>
    <col width="2" customWidth="1" min="21" max="21"/>
    <col outlineLevel="1" width="8" customWidth="1" min="22" max="29"/>
    <col width="8" customWidth="1" min="23" max="23"/>
    <col width="8" customWidth="1" min="24" max="24"/>
    <col width="8" customWidth="1" min="25" max="25"/>
    <col width="9" customWidth="1" min="26" max="26"/>
    <col width="9" customWidth="1" min="27" max="27"/>
    <col width="9" customWidth="1" min="28" max="28"/>
    <col width="9" customWidth="1" min="29" max="29"/>
    <col width="2" customWidth="1" min="30" max="30"/>
    <col outlineLevel="1" width="8" customWidth="1" min="31" max="36"/>
    <col width="8" customWidth="1" min="32" max="32"/>
    <col width="8" customWidth="1" min="33" max="33"/>
    <col width="9" customWidth="1" min="34" max="34"/>
    <col width="9" customWidth="1" min="35" max="35"/>
    <col width="9" customWidth="1" min="36" max="36"/>
    <col width="2" customWidth="1" min="37" max="37"/>
    <col outlineLevel="1" width="18" customWidth="1" min="38" max="40"/>
    <col width="28" customWidth="1" min="39" max="39"/>
    <col width="14" customWidth="1" min="40" max="40"/>
    <col width="12" customWidth="1" min="41" max="41"/>
    <col width="34" customWidth="1" min="42" max="42"/>
  </cols>
  <sheetData>
    <row r="1">
      <c r="A1" s="1" t="inlineStr">
        <is>
          <t>octoGpt / bills template</t>
        </is>
      </c>
      <c r="P1" s="2" t="inlineStr">
        <is>
          <t>edit blue only</t>
        </is>
      </c>
    </row>
    <row r="3">
      <c r="A3" s="3" t="inlineStr">
        <is>
          <t>N_DAYS</t>
        </is>
      </c>
      <c r="B3" s="4" t="n">
        <v>30</v>
      </c>
      <c r="C3" s="3" t="n"/>
      <c r="D3" s="3" t="inlineStr">
        <is>
          <t>G_AVG_KWH/D</t>
        </is>
      </c>
      <c r="E3" s="3">
        <f>IFERROR(SUMPRODUCT((D12:D1000&lt;=$B$4)*(D12:D1000&gt;$B$4-$B$3)*(O12:O1000))/SUMPRODUCT((D12:D1000&lt;=$B$4)*(D12:D1000&gt;$B$4-$B$3)*(E12:E1000)),"")</f>
        <v/>
      </c>
      <c r="F3" s="3" t="n"/>
      <c r="G3" s="3" t="inlineStr">
        <is>
          <t>E_AVG_U/D</t>
        </is>
      </c>
      <c r="H3" s="3">
        <f>IFERROR(SUMPRODUCT((D12:D1000&lt;=$B$4)*(D12:D1000&gt;$B$4-$B$3)*(X12:X1000))/SUMPRODUCT((D12:D1000&lt;=$B$4)*(D12:D1000&gt;$B$4-$B$3)*(E12:E1000)),"")</f>
        <v/>
      </c>
      <c r="I3" s="3" t="n"/>
      <c r="J3" s="3" t="inlineStr">
        <is>
          <t>LATEST_G_PROJ</t>
        </is>
      </c>
      <c r="K3" s="3">
        <f>IFERROR(LOOKUP(2,1/(T12:T1000&lt;&gt;""),T12:T1000),"")</f>
        <v/>
      </c>
      <c r="L3" s="3" t="n"/>
      <c r="M3" s="3" t="n"/>
      <c r="N3" s="3" t="n"/>
    </row>
    <row r="4">
      <c r="A4" s="3" t="inlineStr">
        <is>
          <t>AS_OF_DATE</t>
        </is>
      </c>
      <c r="B4" s="4">
        <f>IF(COUNTA(D12:D1000)=0,"",MAX(D12:D1000))</f>
        <v/>
      </c>
      <c r="C4" s="3" t="n"/>
      <c r="D4" s="3" t="inlineStr">
        <is>
          <t>G_AVG_£/D</t>
        </is>
      </c>
      <c r="E4" s="3">
        <f>IFERROR(SUMPRODUCT((D12:D1000&lt;=$B$4)*(D12:D1000&gt;$B$4-$B$3)*(S12:S1000))/SUMPRODUCT((D12:D1000&lt;=$B$4)*(D12:D1000&gt;$B$4-$B$3)*(E12:E1000)),"")</f>
        <v/>
      </c>
      <c r="F4" s="3" t="n"/>
      <c r="G4" s="3" t="inlineStr">
        <is>
          <t>E_AVG_£/D</t>
        </is>
      </c>
      <c r="H4" s="3">
        <f>IFERROR(SUMPRODUCT((D12:D1000&lt;=$B$4)*(D12:D1000&gt;$B$4-$B$3)*(AB12:AB1000))/SUMPRODUCT((D12:D1000&lt;=$B$4)*(D12:D1000&gt;$B$4-$B$3)*(E12:E1000)),"")</f>
        <v/>
      </c>
      <c r="I4" s="3" t="n"/>
      <c r="J4" s="3" t="inlineStr">
        <is>
          <t>LATEST_E_PROJ</t>
        </is>
      </c>
      <c r="K4" s="3">
        <f>IFERROR(LOOKUP(2,1/(AC12:AC1000&lt;&gt;""),AC12:AC1000),"")</f>
        <v/>
      </c>
      <c r="L4" s="3" t="n"/>
      <c r="M4" s="3" t="n"/>
      <c r="N4" s="3" t="n"/>
    </row>
    <row r="5">
      <c r="A5" s="3" t="inlineStr">
        <is>
          <t>LATEST_BAL</t>
        </is>
      </c>
      <c r="B5" s="3">
        <f>IFERROR(LOOKUP(2,1/(J12:J1000&lt;&gt;""),J12:J1000),"")</f>
        <v/>
      </c>
      <c r="C5" s="3" t="n"/>
      <c r="D5" s="3" t="inlineStr">
        <is>
          <t>G_ANN_£</t>
        </is>
      </c>
      <c r="E5" s="3">
        <f>IF(E4="","",E4*365)</f>
        <v/>
      </c>
      <c r="F5" s="3" t="n"/>
      <c r="G5" s="3" t="inlineStr">
        <is>
          <t>E_ANN_£</t>
        </is>
      </c>
      <c r="H5" s="3">
        <f>IF(H4="","",H4*365)</f>
        <v/>
      </c>
      <c r="I5" s="3" t="n"/>
      <c r="J5" s="3" t="inlineStr">
        <is>
          <t>PROJ_Δ_G</t>
        </is>
      </c>
      <c r="K5" s="3">
        <f>IF(OR(K3="",E5=""),"",K3-E5)</f>
        <v/>
      </c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44" customHeight="1">
      <c r="A11" s="5" t="inlineStr">
        <is>
          <t>SUP</t>
        </is>
      </c>
      <c r="B11" s="5" t="inlineStr">
        <is>
          <t>STMT</t>
        </is>
      </c>
      <c r="C11" s="5" t="inlineStr">
        <is>
          <t>FROM</t>
        </is>
      </c>
      <c r="D11" s="5" t="inlineStr">
        <is>
          <t>TO</t>
        </is>
      </c>
      <c r="E11" s="5" t="inlineStr">
        <is>
          <t>DAYS</t>
        </is>
      </c>
      <c r="F11" s="5" t="inlineStr">
        <is>
          <t>BFWD</t>
        </is>
      </c>
      <c r="G11" s="5" t="inlineStr">
        <is>
          <t>PAY</t>
        </is>
      </c>
      <c r="H11" s="5" t="inlineStr">
        <is>
          <t>ADJ</t>
        </is>
      </c>
      <c r="I11" s="5" t="inlineStr">
        <is>
          <t>NEW</t>
        </is>
      </c>
      <c r="J11" s="6" t="inlineStr">
        <is>
          <t>BNEW</t>
        </is>
      </c>
      <c r="K11" s="7" t="inlineStr"/>
      <c r="L11" s="8" t="inlineStr">
        <is>
          <t>G_S</t>
        </is>
      </c>
      <c r="M11" s="8" t="inlineStr">
        <is>
          <t>G_E</t>
        </is>
      </c>
      <c r="N11" s="8" t="inlineStr">
        <is>
          <t>G_U</t>
        </is>
      </c>
      <c r="O11" s="8" t="inlineStr">
        <is>
          <t>G_KWH</t>
        </is>
      </c>
      <c r="P11" s="8" t="inlineStr">
        <is>
          <t>G_RATE</t>
        </is>
      </c>
      <c r="Q11" s="8" t="inlineStr">
        <is>
          <t>G_USE£</t>
        </is>
      </c>
      <c r="R11" s="8" t="inlineStr">
        <is>
          <t>G_STND£</t>
        </is>
      </c>
      <c r="S11" s="8" t="inlineStr">
        <is>
          <t>G_TOT£</t>
        </is>
      </c>
      <c r="T11" s="9" t="inlineStr">
        <is>
          <t>G_ANN</t>
        </is>
      </c>
      <c r="U11" s="7" t="inlineStr"/>
      <c r="V11" s="10" t="inlineStr">
        <is>
          <t>E_S</t>
        </is>
      </c>
      <c r="W11" s="10" t="inlineStr">
        <is>
          <t>E_E</t>
        </is>
      </c>
      <c r="X11" s="10" t="inlineStr">
        <is>
          <t>E_U</t>
        </is>
      </c>
      <c r="Y11" s="10" t="inlineStr">
        <is>
          <t>E_RATE</t>
        </is>
      </c>
      <c r="Z11" s="10" t="inlineStr">
        <is>
          <t>E_USE£</t>
        </is>
      </c>
      <c r="AA11" s="10" t="inlineStr">
        <is>
          <t>E_STND£</t>
        </is>
      </c>
      <c r="AB11" s="10" t="inlineStr">
        <is>
          <t>E_TOT£</t>
        </is>
      </c>
      <c r="AC11" s="11" t="inlineStr">
        <is>
          <t>E_ANN</t>
        </is>
      </c>
      <c r="AD11" s="7" t="inlineStr"/>
      <c r="AE11" s="12" t="inlineStr">
        <is>
          <t>G_FACT</t>
        </is>
      </c>
      <c r="AF11" s="12" t="inlineStr">
        <is>
          <t>G_CV*</t>
        </is>
      </c>
      <c r="AG11" s="12" t="inlineStr">
        <is>
          <t>CHK</t>
        </is>
      </c>
      <c r="AH11" s="12" t="inlineStr">
        <is>
          <t>G_£/DAY</t>
        </is>
      </c>
      <c r="AI11" s="12" t="inlineStr">
        <is>
          <t>E_£/DAY</t>
        </is>
      </c>
      <c r="AJ11" s="13" t="inlineStr">
        <is>
          <t>TOT_£</t>
        </is>
      </c>
      <c r="AK11" s="7" t="inlineStr"/>
      <c r="AL11" s="14" t="inlineStr">
        <is>
          <t>FILE</t>
        </is>
      </c>
      <c r="AM11" s="14" t="inlineStr">
        <is>
          <t>NOTES</t>
        </is>
      </c>
      <c r="AN11" s="14" t="inlineStr">
        <is>
          <t>SOURCE_TYPE</t>
        </is>
      </c>
      <c r="AO11" s="14" t="inlineStr">
        <is>
          <t>FLAG</t>
        </is>
      </c>
      <c r="AP11" s="14" t="inlineStr">
        <is>
          <t>GEM_COMMENT</t>
        </is>
      </c>
    </row>
    <row r="12">
      <c r="A12" s="15" t="inlineStr">
        <is>
          <t>AVRO</t>
        </is>
      </c>
      <c r="B12" s="16" t="n">
        <v>44465</v>
      </c>
      <c r="C12" s="16" t="n"/>
      <c r="D12" s="16" t="n">
        <v>44465</v>
      </c>
      <c r="E12" s="38" t="n"/>
      <c r="F12" s="39" t="n">
        <v>0</v>
      </c>
      <c r="G12" s="39" t="n"/>
      <c r="H12" s="39" t="n">
        <v>-950.45</v>
      </c>
      <c r="I12" s="39" t="n"/>
      <c r="J12" s="40" t="n">
        <v>-950.45</v>
      </c>
      <c r="L12" s="41" t="n">
        <v>56837.3</v>
      </c>
      <c r="M12" s="41" t="n"/>
      <c r="N12" s="41" t="n"/>
      <c r="O12" s="41" t="n"/>
      <c r="P12" s="21" t="n"/>
      <c r="Q12" s="39" t="n"/>
      <c r="R12" s="39" t="n"/>
      <c r="S12" s="39" t="n"/>
      <c r="T12" s="42" t="n"/>
      <c r="V12" s="41" t="n">
        <v>5034</v>
      </c>
      <c r="W12" s="41" t="n"/>
      <c r="X12" s="41" t="n"/>
      <c r="Y12" s="21" t="n"/>
      <c r="Z12" s="39" t="n"/>
      <c r="AA12" s="39" t="n"/>
      <c r="AB12" s="39" t="n"/>
      <c r="AC12" s="42" t="n"/>
      <c r="AE12" s="32">
        <f>IFERROR(O12/N12,"")</f>
        <v/>
      </c>
      <c r="AF12" s="32">
        <f>IFERROR(AE12*3.6/1.02264,"")</f>
        <v/>
      </c>
      <c r="AG12" s="33">
        <f>IF(COUNTA(A12:J12)=0,"",ROUND(F12+G12+H12+I12-J12,2))</f>
        <v/>
      </c>
      <c r="AH12" s="43">
        <f>IFERROR(S12/E12,"")</f>
        <v/>
      </c>
      <c r="AI12" s="43">
        <f>IFERROR(AB12/E12,"")</f>
        <v/>
      </c>
      <c r="AJ12" s="44">
        <f>IF(COUNTA(S12,AB12)=0,"",S12+AB12)</f>
        <v/>
      </c>
      <c r="AL12" s="15" t="inlineStr">
        <is>
          <t>OctoSheet.xlsx</t>
        </is>
      </c>
      <c r="AM12" s="15" t="inlineStr">
        <is>
          <t>Ref=17536352.0</t>
        </is>
      </c>
      <c r="AN12" s="15" t="inlineStr">
        <is>
          <t>AVRO_FINAL</t>
        </is>
      </c>
      <c r="AO12" s="35" t="inlineStr">
        <is>
          <t>****</t>
        </is>
      </c>
      <c r="AP12" s="35" t="inlineStr">
        <is>
          <t>Sign Convention: True Credit; Mapped AVRO_FINAL amount to ADJ</t>
        </is>
      </c>
    </row>
    <row r="13">
      <c r="A13" s="15" t="inlineStr">
        <is>
          <t>OCTOPUS</t>
        </is>
      </c>
      <c r="B13" s="16" t="n">
        <v>44520</v>
      </c>
      <c r="C13" s="16" t="n"/>
      <c r="D13" s="16" t="n">
        <v>44520</v>
      </c>
      <c r="E13" s="38" t="n"/>
      <c r="F13" s="39" t="n">
        <v>-950.45</v>
      </c>
      <c r="G13" s="39" t="n"/>
      <c r="H13" s="39" t="n">
        <v>293.44</v>
      </c>
      <c r="I13" s="39" t="n"/>
      <c r="J13" s="40" t="n">
        <v>-657.01</v>
      </c>
      <c r="L13" s="41" t="n">
        <v>57100</v>
      </c>
      <c r="M13" s="41" t="n"/>
      <c r="N13" s="41" t="n"/>
      <c r="O13" s="41" t="n"/>
      <c r="P13" s="21" t="n"/>
      <c r="Q13" s="39" t="n"/>
      <c r="R13" s="39" t="n"/>
      <c r="S13" s="39" t="n"/>
      <c r="T13" s="42" t="n"/>
      <c r="V13" s="41" t="n">
        <v>5210</v>
      </c>
      <c r="W13" s="41" t="n"/>
      <c r="X13" s="41" t="n"/>
      <c r="Y13" s="21" t="n"/>
      <c r="Z13" s="39" t="n"/>
      <c r="AA13" s="39" t="n"/>
      <c r="AB13" s="39" t="n"/>
      <c r="AC13" s="42" t="n"/>
      <c r="AE13" s="32">
        <f>IFERROR(O13/N13,"")</f>
        <v/>
      </c>
      <c r="AF13" s="32">
        <f>IFERROR(AE13*3.6/1.02264,"")</f>
        <v/>
      </c>
      <c r="AG13" s="33">
        <f>IF(COUNTA(A13:J13)=0,"",ROUND(F13+G13+H13+I13-J13,2))</f>
        <v/>
      </c>
      <c r="AH13" s="43">
        <f>IFERROR(S13/E13,"")</f>
        <v/>
      </c>
      <c r="AI13" s="43">
        <f>IFERROR(AB13/E13,"")</f>
        <v/>
      </c>
      <c r="AJ13" s="44">
        <f>IF(COUNTA(S13,AB13)=0,"",S13+AB13)</f>
        <v/>
      </c>
      <c r="AL13" s="15" t="inlineStr">
        <is>
          <t>OctoSheet.xlsx</t>
        </is>
      </c>
      <c r="AM13" s="15" t="inlineStr">
        <is>
          <t>Ref=2026-10-01</t>
        </is>
      </c>
      <c r="AN13" s="15" t="inlineStr">
        <is>
          <t>OPENING</t>
        </is>
      </c>
      <c r="AO13" s="35" t="inlineStr">
        <is>
          <t>****</t>
        </is>
      </c>
      <c r="AP13" s="35" t="inlineStr">
        <is>
          <t>Ghost Debt Transfer; Mapped OPENING amount to ADJ</t>
        </is>
      </c>
    </row>
    <row r="14">
      <c r="A14" s="15" t="inlineStr">
        <is>
          <t>OCTOPUS</t>
        </is>
      </c>
      <c r="B14" s="16" t="n">
        <v>44545</v>
      </c>
      <c r="C14" s="16" t="n"/>
      <c r="D14" s="16" t="n">
        <v>44545</v>
      </c>
      <c r="E14" s="38" t="n"/>
      <c r="F14" s="39" t="n">
        <v>-657.01</v>
      </c>
      <c r="G14" s="39" t="n"/>
      <c r="H14" s="39" t="n"/>
      <c r="I14" s="39" t="n">
        <v>85.2</v>
      </c>
      <c r="J14" s="40" t="n">
        <v>-571.8099999999999</v>
      </c>
      <c r="L14" s="41" t="n">
        <v>57250</v>
      </c>
      <c r="M14" s="41" t="n"/>
      <c r="N14" s="41" t="n"/>
      <c r="O14" s="41" t="n"/>
      <c r="P14" s="21" t="n"/>
      <c r="Q14" s="39" t="n"/>
      <c r="R14" s="39" t="n"/>
      <c r="S14" s="39" t="n"/>
      <c r="T14" s="42" t="n"/>
      <c r="V14" s="41" t="n">
        <v>5280</v>
      </c>
      <c r="W14" s="41" t="n"/>
      <c r="X14" s="41" t="n"/>
      <c r="Y14" s="21" t="n"/>
      <c r="Z14" s="39" t="n"/>
      <c r="AA14" s="39" t="n"/>
      <c r="AB14" s="39" t="n"/>
      <c r="AC14" s="42" t="n"/>
      <c r="AE14" s="32">
        <f>IFERROR(O14/N14,"")</f>
        <v/>
      </c>
      <c r="AF14" s="32">
        <f>IFERROR(AE14*3.6/1.02264,"")</f>
        <v/>
      </c>
      <c r="AG14" s="33">
        <f>IF(COUNTA(A14:J14)=0,"",ROUND(F14+G14+H14+I14-J14,2))</f>
        <v/>
      </c>
      <c r="AH14" s="43">
        <f>IFERROR(S14/E14,"")</f>
        <v/>
      </c>
      <c r="AI14" s="43">
        <f>IFERROR(AB14/E14,"")</f>
        <v/>
      </c>
      <c r="AJ14" s="44">
        <f>IF(COUNTA(S14,AB14)=0,"",S14+AB14)</f>
        <v/>
      </c>
      <c r="AL14" s="15" t="inlineStr">
        <is>
          <t>OctoSheet.xlsx</t>
        </is>
      </c>
      <c r="AM14" s="15" t="inlineStr">
        <is>
          <t>Ref=2026-10-02</t>
        </is>
      </c>
      <c r="AN14" s="15" t="inlineStr">
        <is>
          <t>BILL</t>
        </is>
      </c>
      <c r="AO14" s="35" t="inlineStr">
        <is>
          <t>MATCH</t>
        </is>
      </c>
      <c r="AP14" s="35" t="inlineStr">
        <is>
          <t>Early winter baseline</t>
        </is>
      </c>
    </row>
    <row r="15">
      <c r="A15" s="15" t="inlineStr">
        <is>
          <t>OCTOPUS</t>
        </is>
      </c>
      <c r="B15" s="16" t="n">
        <v>44576</v>
      </c>
      <c r="C15" s="16" t="n"/>
      <c r="D15" s="16" t="n">
        <v>44576</v>
      </c>
      <c r="E15" s="38" t="n"/>
      <c r="F15" s="39" t="n">
        <v>-571.8099999999999</v>
      </c>
      <c r="G15" s="39" t="n"/>
      <c r="H15" s="39" t="n"/>
      <c r="I15" s="39" t="n">
        <v>112.1</v>
      </c>
      <c r="J15" s="40" t="n">
        <v>-459.71</v>
      </c>
      <c r="L15" s="41" t="n">
        <v>57400</v>
      </c>
      <c r="M15" s="41" t="n"/>
      <c r="N15" s="41" t="n"/>
      <c r="O15" s="41" t="n"/>
      <c r="P15" s="21" t="n"/>
      <c r="Q15" s="39" t="n"/>
      <c r="R15" s="39" t="n"/>
      <c r="S15" s="39" t="n"/>
      <c r="T15" s="42" t="n"/>
      <c r="V15" s="41" t="n">
        <v>5350</v>
      </c>
      <c r="W15" s="41" t="n"/>
      <c r="X15" s="41" t="n"/>
      <c r="Y15" s="21" t="n"/>
      <c r="Z15" s="39" t="n"/>
      <c r="AA15" s="39" t="n"/>
      <c r="AB15" s="39" t="n"/>
      <c r="AC15" s="42" t="n"/>
      <c r="AE15" s="32">
        <f>IFERROR(O15/N15,"")</f>
        <v/>
      </c>
      <c r="AF15" s="32">
        <f>IFERROR(AE15*3.6/1.02264,"")</f>
        <v/>
      </c>
      <c r="AG15" s="33">
        <f>IF(COUNTA(A15:J15)=0,"",ROUND(F15+G15+H15+I15-J15,2))</f>
        <v/>
      </c>
      <c r="AH15" s="43">
        <f>IFERROR(S15/E15,"")</f>
        <v/>
      </c>
      <c r="AI15" s="43">
        <f>IFERROR(AB15/E15,"")</f>
        <v/>
      </c>
      <c r="AJ15" s="44">
        <f>IF(COUNTA(S15,AB15)=0,"",S15+AB15)</f>
        <v/>
      </c>
      <c r="AL15" s="15" t="inlineStr">
        <is>
          <t>OctoSheet.xlsx</t>
        </is>
      </c>
      <c r="AM15" s="15" t="inlineStr">
        <is>
          <t>Ref=2026-10-04; SrcNote=2022-01-01</t>
        </is>
      </c>
      <c r="AN15" s="15" t="inlineStr">
        <is>
          <t>BILL</t>
        </is>
      </c>
      <c r="AO15" s="35" t="inlineStr">
        <is>
          <t>MATCH</t>
        </is>
      </c>
      <c r="AP15" s="35" t="n"/>
    </row>
    <row r="16">
      <c r="A16" s="15" t="inlineStr">
        <is>
          <t>OCTOPUS</t>
        </is>
      </c>
      <c r="B16" s="16" t="n">
        <v>44606</v>
      </c>
      <c r="C16" s="16" t="n"/>
      <c r="D16" s="16" t="n">
        <v>44606</v>
      </c>
      <c r="E16" s="38" t="n"/>
      <c r="F16" s="39" t="n">
        <v>-459.71</v>
      </c>
      <c r="G16" s="39" t="n"/>
      <c r="H16" s="39" t="n"/>
      <c r="I16" s="39" t="n">
        <v>98.40000000000001</v>
      </c>
      <c r="J16" s="40" t="n">
        <v>-361.31</v>
      </c>
      <c r="L16" s="41" t="n">
        <v>57550</v>
      </c>
      <c r="M16" s="41" t="n"/>
      <c r="N16" s="41" t="n"/>
      <c r="O16" s="41" t="n"/>
      <c r="P16" s="21" t="n"/>
      <c r="Q16" s="39" t="n"/>
      <c r="R16" s="39" t="n"/>
      <c r="S16" s="39" t="n"/>
      <c r="T16" s="42" t="n"/>
      <c r="V16" s="41" t="n">
        <v>5420</v>
      </c>
      <c r="W16" s="41" t="n"/>
      <c r="X16" s="41" t="n"/>
      <c r="Y16" s="21" t="n"/>
      <c r="Z16" s="39" t="n"/>
      <c r="AA16" s="39" t="n"/>
      <c r="AB16" s="39" t="n"/>
      <c r="AC16" s="42" t="n"/>
      <c r="AE16" s="32">
        <f>IFERROR(O16/N16,"")</f>
        <v/>
      </c>
      <c r="AF16" s="32">
        <f>IFERROR(AE16*3.6/1.02264,"")</f>
        <v/>
      </c>
      <c r="AG16" s="33">
        <f>IF(COUNTA(A16:J16)=0,"",ROUND(F16+G16+H16+I16-J16,2))</f>
        <v/>
      </c>
      <c r="AH16" s="43">
        <f>IFERROR(S16/E16,"")</f>
        <v/>
      </c>
      <c r="AI16" s="43">
        <f>IFERROR(AB16/E16,"")</f>
        <v/>
      </c>
      <c r="AJ16" s="44">
        <f>IF(COUNTA(S16,AB16)=0,"",S16+AB16)</f>
        <v/>
      </c>
      <c r="AL16" s="15" t="inlineStr">
        <is>
          <t>OctoSheet.xlsx</t>
        </is>
      </c>
      <c r="AM16" s="15" t="inlineStr">
        <is>
          <t>Ref=2026-10-06; SrcNote=2022-02-01</t>
        </is>
      </c>
      <c r="AN16" s="15" t="inlineStr">
        <is>
          <t>BILL</t>
        </is>
      </c>
      <c r="AO16" s="35" t="inlineStr">
        <is>
          <t>MATCH</t>
        </is>
      </c>
      <c r="AP16" s="35" t="n"/>
    </row>
    <row r="17">
      <c r="A17" s="15" t="inlineStr">
        <is>
          <t>OCTOPUS</t>
        </is>
      </c>
      <c r="B17" s="16" t="n">
        <v>44635</v>
      </c>
      <c r="C17" s="16" t="n"/>
      <c r="D17" s="16" t="n">
        <v>44635</v>
      </c>
      <c r="E17" s="38" t="n"/>
      <c r="F17" s="39" t="n">
        <v>-361.31</v>
      </c>
      <c r="G17" s="39" t="n"/>
      <c r="H17" s="39" t="n"/>
      <c r="I17" s="39" t="n">
        <v>105.2</v>
      </c>
      <c r="J17" s="40" t="n">
        <v>-256.11</v>
      </c>
      <c r="L17" s="41" t="n">
        <v>57700</v>
      </c>
      <c r="M17" s="41" t="n"/>
      <c r="N17" s="41" t="n"/>
      <c r="O17" s="41" t="n"/>
      <c r="P17" s="21" t="n"/>
      <c r="Q17" s="39" t="n"/>
      <c r="R17" s="39" t="n"/>
      <c r="S17" s="39" t="n"/>
      <c r="T17" s="42" t="n"/>
      <c r="V17" s="41" t="n">
        <v>5500</v>
      </c>
      <c r="W17" s="41" t="n"/>
      <c r="X17" s="41" t="n"/>
      <c r="Y17" s="21" t="n"/>
      <c r="Z17" s="39" t="n"/>
      <c r="AA17" s="39" t="n"/>
      <c r="AB17" s="39" t="n"/>
      <c r="AC17" s="42" t="n"/>
      <c r="AE17" s="32">
        <f>IFERROR(O17/N17,"")</f>
        <v/>
      </c>
      <c r="AF17" s="32">
        <f>IFERROR(AE17*3.6/1.02264,"")</f>
        <v/>
      </c>
      <c r="AG17" s="33">
        <f>IF(COUNTA(A17:J17)=0,"",ROUND(F17+G17+H17+I17-J17,2))</f>
        <v/>
      </c>
      <c r="AH17" s="43">
        <f>IFERROR(S17/E17,"")</f>
        <v/>
      </c>
      <c r="AI17" s="43">
        <f>IFERROR(AB17/E17,"")</f>
        <v/>
      </c>
      <c r="AJ17" s="44">
        <f>IF(COUNTA(S17,AB17)=0,"",S17+AB17)</f>
        <v/>
      </c>
      <c r="AL17" s="15" t="inlineStr">
        <is>
          <t>OctoSheet.xlsx</t>
        </is>
      </c>
      <c r="AM17" s="15" t="inlineStr">
        <is>
          <t>Ref=2026-10-08; SrcNote=2022-03-01</t>
        </is>
      </c>
      <c r="AN17" s="15" t="inlineStr">
        <is>
          <t>BILL</t>
        </is>
      </c>
      <c r="AO17" s="35" t="inlineStr">
        <is>
          <t>MATCH</t>
        </is>
      </c>
      <c r="AP17" s="35" t="n"/>
    </row>
    <row r="18">
      <c r="A18" s="15" t="inlineStr">
        <is>
          <t>OCTOPUS</t>
        </is>
      </c>
      <c r="B18" s="16" t="n">
        <v>44665</v>
      </c>
      <c r="C18" s="16" t="n"/>
      <c r="D18" s="16" t="n">
        <v>44665</v>
      </c>
      <c r="E18" s="38" t="n"/>
      <c r="F18" s="39" t="n">
        <v>-256.11</v>
      </c>
      <c r="G18" s="39" t="n"/>
      <c r="H18" s="39" t="n"/>
      <c r="I18" s="39" t="n">
        <v>88.40000000000001</v>
      </c>
      <c r="J18" s="40" t="n">
        <v>-167.71</v>
      </c>
      <c r="L18" s="41" t="n">
        <v>57800</v>
      </c>
      <c r="M18" s="41" t="n"/>
      <c r="N18" s="41" t="n"/>
      <c r="O18" s="41" t="n"/>
      <c r="P18" s="21" t="n"/>
      <c r="Q18" s="39" t="n"/>
      <c r="R18" s="39" t="n"/>
      <c r="S18" s="39" t="n"/>
      <c r="T18" s="42" t="n"/>
      <c r="V18" s="41" t="n">
        <v>5580</v>
      </c>
      <c r="W18" s="41" t="n"/>
      <c r="X18" s="41" t="n"/>
      <c r="Y18" s="21" t="n"/>
      <c r="Z18" s="39" t="n"/>
      <c r="AA18" s="39" t="n"/>
      <c r="AB18" s="39" t="n"/>
      <c r="AC18" s="42" t="n"/>
      <c r="AE18" s="32">
        <f>IFERROR(O18/N18,"")</f>
        <v/>
      </c>
      <c r="AF18" s="32">
        <f>IFERROR(AE18*3.6/1.02264,"")</f>
        <v/>
      </c>
      <c r="AG18" s="33">
        <f>IF(COUNTA(A18:J18)=0,"",ROUND(F18+G18+H18+I18-J18,2))</f>
        <v/>
      </c>
      <c r="AH18" s="43">
        <f>IFERROR(S18/E18,"")</f>
        <v/>
      </c>
      <c r="AI18" s="43">
        <f>IFERROR(AB18/E18,"")</f>
        <v/>
      </c>
      <c r="AJ18" s="44">
        <f>IF(COUNTA(S18,AB18)=0,"",S18+AB18)</f>
        <v/>
      </c>
      <c r="AL18" s="15" t="inlineStr">
        <is>
          <t>OctoSheet.xlsx</t>
        </is>
      </c>
      <c r="AM18" s="15" t="inlineStr">
        <is>
          <t>Ref=2026-10-10; SrcNote=2022-04-01</t>
        </is>
      </c>
      <c r="AN18" s="15" t="inlineStr">
        <is>
          <t>BILL</t>
        </is>
      </c>
      <c r="AO18" s="35" t="inlineStr">
        <is>
          <t>MATCH</t>
        </is>
      </c>
      <c r="AP18" s="35" t="n"/>
    </row>
    <row r="19">
      <c r="A19" s="15" t="inlineStr">
        <is>
          <t>OCTOPUS</t>
        </is>
      </c>
      <c r="B19" s="16" t="n">
        <v>44696</v>
      </c>
      <c r="C19" s="16" t="n"/>
      <c r="D19" s="16" t="n">
        <v>44696</v>
      </c>
      <c r="E19" s="38" t="n"/>
      <c r="F19" s="39" t="n">
        <v>-167.71</v>
      </c>
      <c r="G19" s="39" t="n"/>
      <c r="H19" s="39" t="n"/>
      <c r="I19" s="39" t="n">
        <v>65.3</v>
      </c>
      <c r="J19" s="40" t="n">
        <v>-102.41</v>
      </c>
      <c r="L19" s="41" t="n">
        <v>57900</v>
      </c>
      <c r="M19" s="41" t="n"/>
      <c r="N19" s="41" t="n"/>
      <c r="O19" s="41" t="n"/>
      <c r="P19" s="21" t="n"/>
      <c r="Q19" s="39" t="n"/>
      <c r="R19" s="39" t="n"/>
      <c r="S19" s="39" t="n"/>
      <c r="T19" s="42" t="n"/>
      <c r="V19" s="41" t="n">
        <v>5650</v>
      </c>
      <c r="W19" s="41" t="n"/>
      <c r="X19" s="41" t="n"/>
      <c r="Y19" s="21" t="n"/>
      <c r="Z19" s="39" t="n"/>
      <c r="AA19" s="39" t="n"/>
      <c r="AB19" s="39" t="n"/>
      <c r="AC19" s="42" t="n"/>
      <c r="AE19" s="32">
        <f>IFERROR(O19/N19,"")</f>
        <v/>
      </c>
      <c r="AF19" s="32">
        <f>IFERROR(AE19*3.6/1.02264,"")</f>
        <v/>
      </c>
      <c r="AG19" s="33">
        <f>IF(COUNTA(A19:J19)=0,"",ROUND(F19+G19+H19+I19-J19,2))</f>
        <v/>
      </c>
      <c r="AH19" s="43">
        <f>IFERROR(S19/E19,"")</f>
        <v/>
      </c>
      <c r="AI19" s="43">
        <f>IFERROR(AB19/E19,"")</f>
        <v/>
      </c>
      <c r="AJ19" s="44">
        <f>IF(COUNTA(S19,AB19)=0,"",S19+AB19)</f>
        <v/>
      </c>
      <c r="AL19" s="15" t="inlineStr">
        <is>
          <t>OctoSheet.xlsx</t>
        </is>
      </c>
      <c r="AM19" s="15" t="inlineStr">
        <is>
          <t>Ref=2026-10-12; SrcNote=2022-05-01</t>
        </is>
      </c>
      <c r="AN19" s="15" t="inlineStr">
        <is>
          <t>BILL</t>
        </is>
      </c>
      <c r="AO19" s="35" t="inlineStr">
        <is>
          <t>MATCH</t>
        </is>
      </c>
      <c r="AP19" s="35" t="n"/>
    </row>
    <row r="20">
      <c r="A20" s="15" t="inlineStr">
        <is>
          <t>OCTOPUS</t>
        </is>
      </c>
      <c r="B20" s="16" t="n">
        <v>44726</v>
      </c>
      <c r="C20" s="16" t="n"/>
      <c r="D20" s="16" t="n">
        <v>44726</v>
      </c>
      <c r="E20" s="38" t="n"/>
      <c r="F20" s="39" t="n">
        <v>-102.41</v>
      </c>
      <c r="G20" s="39" t="n"/>
      <c r="H20" s="39" t="n"/>
      <c r="I20" s="39" t="n">
        <v>42.1</v>
      </c>
      <c r="J20" s="40" t="n">
        <v>-60.31</v>
      </c>
      <c r="L20" s="41" t="n">
        <v>57950</v>
      </c>
      <c r="M20" s="41" t="n"/>
      <c r="N20" s="41" t="n"/>
      <c r="O20" s="41" t="n"/>
      <c r="P20" s="21" t="n"/>
      <c r="Q20" s="39" t="n"/>
      <c r="R20" s="39" t="n"/>
      <c r="S20" s="39" t="n"/>
      <c r="T20" s="42" t="n"/>
      <c r="V20" s="41" t="n">
        <v>5700</v>
      </c>
      <c r="W20" s="41" t="n"/>
      <c r="X20" s="41" t="n"/>
      <c r="Y20" s="21" t="n"/>
      <c r="Z20" s="39" t="n"/>
      <c r="AA20" s="39" t="n"/>
      <c r="AB20" s="39" t="n"/>
      <c r="AC20" s="42" t="n"/>
      <c r="AE20" s="32">
        <f>IFERROR(O20/N20,"")</f>
        <v/>
      </c>
      <c r="AF20" s="32">
        <f>IFERROR(AE20*3.6/1.02264,"")</f>
        <v/>
      </c>
      <c r="AG20" s="33">
        <f>IF(COUNTA(A20:J20)=0,"",ROUND(F20+G20+H20+I20-J20,2))</f>
        <v/>
      </c>
      <c r="AH20" s="43">
        <f>IFERROR(S20/E20,"")</f>
        <v/>
      </c>
      <c r="AI20" s="43">
        <f>IFERROR(AB20/E20,"")</f>
        <v/>
      </c>
      <c r="AJ20" s="44">
        <f>IF(COUNTA(S20,AB20)=0,"",S20+AB20)</f>
        <v/>
      </c>
      <c r="AL20" s="15" t="inlineStr">
        <is>
          <t>OctoSheet.xlsx</t>
        </is>
      </c>
      <c r="AM20" s="15" t="inlineStr">
        <is>
          <t>Ref=2026-10-14; SrcNote=2022-06-01</t>
        </is>
      </c>
      <c r="AN20" s="15" t="inlineStr">
        <is>
          <t>BILL</t>
        </is>
      </c>
      <c r="AO20" s="35" t="inlineStr">
        <is>
          <t>MATCH</t>
        </is>
      </c>
      <c r="AP20" s="35" t="n"/>
    </row>
    <row r="21">
      <c r="A21" s="15" t="inlineStr">
        <is>
          <t>OCTOPUS</t>
        </is>
      </c>
      <c r="B21" s="16" t="n">
        <v>44757</v>
      </c>
      <c r="C21" s="16" t="n"/>
      <c r="D21" s="16" t="n">
        <v>44757</v>
      </c>
      <c r="E21" s="38" t="n"/>
      <c r="F21" s="39" t="n">
        <v>-60.31</v>
      </c>
      <c r="G21" s="39" t="n"/>
      <c r="H21" s="39" t="n"/>
      <c r="I21" s="39" t="n">
        <v>35.2</v>
      </c>
      <c r="J21" s="40" t="n">
        <v>-25.11</v>
      </c>
      <c r="L21" s="41" t="n">
        <v>58000</v>
      </c>
      <c r="M21" s="41" t="n"/>
      <c r="N21" s="41" t="n"/>
      <c r="O21" s="41" t="n"/>
      <c r="P21" s="21" t="n"/>
      <c r="Q21" s="39" t="n"/>
      <c r="R21" s="39" t="n"/>
      <c r="S21" s="39" t="n"/>
      <c r="T21" s="42" t="n"/>
      <c r="V21" s="41" t="n">
        <v>5750</v>
      </c>
      <c r="W21" s="41" t="n"/>
      <c r="X21" s="41" t="n"/>
      <c r="Y21" s="21" t="n"/>
      <c r="Z21" s="39" t="n"/>
      <c r="AA21" s="39" t="n"/>
      <c r="AB21" s="39" t="n"/>
      <c r="AC21" s="42" t="n"/>
      <c r="AE21" s="32">
        <f>IFERROR(O21/N21,"")</f>
        <v/>
      </c>
      <c r="AF21" s="32">
        <f>IFERROR(AE21*3.6/1.02264,"")</f>
        <v/>
      </c>
      <c r="AG21" s="33">
        <f>IF(COUNTA(A21:J21)=0,"",ROUND(F21+G21+H21+I21-J21,2))</f>
        <v/>
      </c>
      <c r="AH21" s="43">
        <f>IFERROR(S21/E21,"")</f>
        <v/>
      </c>
      <c r="AI21" s="43">
        <f>IFERROR(AB21/E21,"")</f>
        <v/>
      </c>
      <c r="AJ21" s="44">
        <f>IF(COUNTA(S21,AB21)=0,"",S21+AB21)</f>
        <v/>
      </c>
      <c r="AL21" s="15" t="inlineStr">
        <is>
          <t>OctoSheet.xlsx</t>
        </is>
      </c>
      <c r="AM21" s="15" t="inlineStr">
        <is>
          <t>Ref=2026-10-16; SrcNote=2022-07-01</t>
        </is>
      </c>
      <c r="AN21" s="15" t="inlineStr">
        <is>
          <t>BILL</t>
        </is>
      </c>
      <c r="AO21" s="35" t="inlineStr">
        <is>
          <t>MATCH</t>
        </is>
      </c>
      <c r="AP21" s="35" t="n"/>
    </row>
    <row r="22">
      <c r="A22" s="15" t="inlineStr">
        <is>
          <t>OCTOPUS</t>
        </is>
      </c>
      <c r="B22" s="16" t="n">
        <v>44787</v>
      </c>
      <c r="C22" s="16" t="n"/>
      <c r="D22" s="16" t="n">
        <v>44787</v>
      </c>
      <c r="E22" s="38" t="n"/>
      <c r="F22" s="39" t="n">
        <v>-25.11</v>
      </c>
      <c r="G22" s="39" t="n"/>
      <c r="H22" s="39" t="n"/>
      <c r="I22" s="39" t="n">
        <v>45</v>
      </c>
      <c r="J22" s="40" t="n">
        <v>-414.71</v>
      </c>
      <c r="L22" s="41" t="n">
        <v>58100</v>
      </c>
      <c r="M22" s="41" t="n"/>
      <c r="N22" s="41" t="n"/>
      <c r="O22" s="41" t="n"/>
      <c r="P22" s="21" t="n"/>
      <c r="Q22" s="39" t="n"/>
      <c r="R22" s="39" t="n"/>
      <c r="S22" s="39" t="n"/>
      <c r="T22" s="42" t="n"/>
      <c r="V22" s="41" t="n">
        <v>5800</v>
      </c>
      <c r="W22" s="41" t="n"/>
      <c r="X22" s="41" t="n"/>
      <c r="Y22" s="21" t="n"/>
      <c r="Z22" s="39" t="n"/>
      <c r="AA22" s="39" t="n"/>
      <c r="AB22" s="39" t="n"/>
      <c r="AC22" s="42" t="n"/>
      <c r="AE22" s="32">
        <f>IFERROR(O22/N22,"")</f>
        <v/>
      </c>
      <c r="AF22" s="32">
        <f>IFERROR(AE22*3.6/1.02264,"")</f>
        <v/>
      </c>
      <c r="AG22" s="33">
        <f>IF(COUNTA(A22:J22)=0,"",ROUND(F22+G22+H22+I22-J22,2))</f>
        <v/>
      </c>
      <c r="AH22" s="43">
        <f>IFERROR(S22/E22,"")</f>
        <v/>
      </c>
      <c r="AI22" s="43">
        <f>IFERROR(AB22/E22,"")</f>
        <v/>
      </c>
      <c r="AJ22" s="44">
        <f>IF(COUNTA(S22,AB22)=0,"",S22+AB22)</f>
        <v/>
      </c>
      <c r="AL22" s="15" t="inlineStr">
        <is>
          <t>OctoSheet.xlsx</t>
        </is>
      </c>
      <c r="AM22" s="15" t="inlineStr">
        <is>
          <t>Ref=2026-10-18</t>
        </is>
      </c>
      <c r="AN22" s="15" t="inlineStr">
        <is>
          <t>EST</t>
        </is>
      </c>
      <c r="AO22" s="35" t="inlineStr">
        <is>
          <t>//</t>
        </is>
      </c>
      <c r="AP22" s="35" t="inlineStr">
        <is>
          <t>Low summer estimate; Source type EST loaded into NEW for review</t>
        </is>
      </c>
    </row>
    <row r="23">
      <c r="A23" s="15" t="inlineStr">
        <is>
          <t>OCTOPUS</t>
        </is>
      </c>
      <c r="B23" s="16" t="n">
        <v>45065</v>
      </c>
      <c r="C23" s="16" t="n"/>
      <c r="D23" s="16" t="n">
        <v>45065</v>
      </c>
      <c r="E23" s="38" t="n"/>
      <c r="F23" s="39" t="n">
        <v>-414.71</v>
      </c>
      <c r="G23" s="39" t="n"/>
      <c r="H23" s="39" t="n">
        <v>0</v>
      </c>
      <c r="I23" s="39" t="n"/>
      <c r="J23" s="40" t="n">
        <v>-414.71</v>
      </c>
      <c r="L23" s="41" t="n"/>
      <c r="M23" s="41" t="n"/>
      <c r="N23" s="41" t="n"/>
      <c r="O23" s="41" t="n"/>
      <c r="P23" s="21" t="n"/>
      <c r="Q23" s="39" t="n"/>
      <c r="R23" s="39" t="n"/>
      <c r="S23" s="39" t="n"/>
      <c r="T23" s="42" t="n"/>
      <c r="V23" s="41" t="n"/>
      <c r="W23" s="41" t="n"/>
      <c r="X23" s="41" t="n"/>
      <c r="Y23" s="21" t="n"/>
      <c r="Z23" s="39" t="n"/>
      <c r="AA23" s="39" t="n"/>
      <c r="AB23" s="39" t="n"/>
      <c r="AC23" s="42" t="n"/>
      <c r="AE23" s="32">
        <f>IFERROR(O23/N23,"")</f>
        <v/>
      </c>
      <c r="AF23" s="32">
        <f>IFERROR(AE23*3.6/1.02264,"")</f>
        <v/>
      </c>
      <c r="AG23" s="33">
        <f>IF(COUNTA(A23:J23)=0,"",ROUND(F23+G23+H23+I23-J23,2))</f>
        <v/>
      </c>
      <c r="AH23" s="43">
        <f>IFERROR(S23/E23,"")</f>
        <v/>
      </c>
      <c r="AI23" s="43">
        <f>IFERROR(AB23/E23,"")</f>
        <v/>
      </c>
      <c r="AJ23" s="44">
        <f>IF(COUNTA(S23,AB23)=0,"",S23+AB23)</f>
        <v/>
      </c>
      <c r="AL23" s="15" t="inlineStr">
        <is>
          <t>OctoSheet.xlsx</t>
        </is>
      </c>
      <c r="AM23" s="15" t="inlineStr">
        <is>
          <t>Ref=EMAIL</t>
        </is>
      </c>
      <c r="AN23" s="15" t="inlineStr">
        <is>
          <t>DISPUTE</t>
        </is>
      </c>
      <c r="AO23" s="35" t="inlineStr">
        <is>
          <t>DD</t>
        </is>
      </c>
      <c r="AP23" s="35" t="inlineStr">
        <is>
          <t>Declined DD increase; Mapped DISPUTE amount to ADJ</t>
        </is>
      </c>
    </row>
    <row r="24">
      <c r="A24" s="15" t="inlineStr">
        <is>
          <t>OCTOPUS</t>
        </is>
      </c>
      <c r="B24" s="16" t="n">
        <v>45083</v>
      </c>
      <c r="C24" s="16" t="n"/>
      <c r="D24" s="16" t="n">
        <v>45083</v>
      </c>
      <c r="E24" s="38" t="n"/>
      <c r="F24" s="39" t="n">
        <v>-414.71</v>
      </c>
      <c r="G24" s="39" t="n"/>
      <c r="H24" s="39" t="n">
        <v>512.4</v>
      </c>
      <c r="I24" s="39" t="n"/>
      <c r="J24" s="40" t="n">
        <v>97.69</v>
      </c>
      <c r="L24" s="41" t="n"/>
      <c r="M24" s="41" t="n"/>
      <c r="N24" s="41" t="n"/>
      <c r="O24" s="41" t="n"/>
      <c r="P24" s="21" t="n"/>
      <c r="Q24" s="39" t="n"/>
      <c r="R24" s="39" t="n"/>
      <c r="S24" s="39" t="n"/>
      <c r="T24" s="42" t="n"/>
      <c r="V24" s="41" t="n"/>
      <c r="W24" s="41" t="n"/>
      <c r="X24" s="41" t="n"/>
      <c r="Y24" s="21" t="n"/>
      <c r="Z24" s="39" t="n"/>
      <c r="AA24" s="39" t="n"/>
      <c r="AB24" s="39" t="n"/>
      <c r="AC24" s="42" t="n"/>
      <c r="AE24" s="32">
        <f>IFERROR(O24/N24,"")</f>
        <v/>
      </c>
      <c r="AF24" s="32">
        <f>IFERROR(AE24*3.6/1.02264,"")</f>
        <v/>
      </c>
      <c r="AG24" s="33">
        <f>IF(COUNTA(A24:J24)=0,"",ROUND(F24+G24+H24+I24-J24,2))</f>
        <v/>
      </c>
      <c r="AH24" s="43">
        <f>IFERROR(S24/E24,"")</f>
        <v/>
      </c>
      <c r="AI24" s="43">
        <f>IFERROR(AB24/E24,"")</f>
        <v/>
      </c>
      <c r="AJ24" s="44">
        <f>IF(COUNTA(S24,AB24)=0,"",S24+AB24)</f>
        <v/>
      </c>
      <c r="AL24" s="15" t="inlineStr">
        <is>
          <t>OctoSheet.xlsx</t>
        </is>
      </c>
      <c r="AM24" s="15" t="inlineStr">
        <is>
          <t>Ref=BANK</t>
        </is>
      </c>
      <c r="AN24" s="15" t="inlineStr">
        <is>
          <t>BREACH</t>
        </is>
      </c>
      <c r="AO24" s="35" t="inlineStr">
        <is>
          <t>****</t>
        </is>
      </c>
      <c r="AP24" s="35" t="inlineStr">
        <is>
          <t>UNAUTHORISED &gt;Â£500 TAKEN; Mapped BREACH amount to ADJ</t>
        </is>
      </c>
    </row>
    <row r="25">
      <c r="A25" s="15" t="inlineStr">
        <is>
          <t>OCTOPUS</t>
        </is>
      </c>
      <c r="B25" s="16" t="n">
        <v>45121</v>
      </c>
      <c r="C25" s="16" t="n"/>
      <c r="D25" s="16" t="n">
        <v>45121</v>
      </c>
      <c r="E25" s="38" t="n"/>
      <c r="F25" s="39" t="n">
        <v>97.69</v>
      </c>
      <c r="G25" s="39" t="n"/>
      <c r="H25" s="39" t="n"/>
      <c r="I25" s="39" t="n">
        <v>88.5</v>
      </c>
      <c r="J25" s="40" t="n">
        <v>186.19</v>
      </c>
      <c r="L25" s="41" t="n">
        <v>59200</v>
      </c>
      <c r="M25" s="41" t="n"/>
      <c r="N25" s="41" t="n"/>
      <c r="O25" s="41" t="n"/>
      <c r="P25" s="21" t="n"/>
      <c r="Q25" s="39" t="n"/>
      <c r="R25" s="39" t="n"/>
      <c r="S25" s="39" t="n"/>
      <c r="T25" s="42" t="n"/>
      <c r="V25" s="41" t="n">
        <v>6450</v>
      </c>
      <c r="W25" s="41" t="n"/>
      <c r="X25" s="41" t="n"/>
      <c r="Y25" s="21" t="n"/>
      <c r="Z25" s="39" t="n"/>
      <c r="AA25" s="39" t="n"/>
      <c r="AB25" s="39" t="n"/>
      <c r="AC25" s="42" t="n"/>
      <c r="AE25" s="32">
        <f>IFERROR(O25/N25,"")</f>
        <v/>
      </c>
      <c r="AF25" s="32">
        <f>IFERROR(AE25*3.6/1.02264,"")</f>
        <v/>
      </c>
      <c r="AG25" s="33">
        <f>IF(COUNTA(A25:J25)=0,"",ROUND(F25+G25+H25+I25-J25,2))</f>
        <v/>
      </c>
      <c r="AH25" s="43">
        <f>IFERROR(S25/E25,"")</f>
        <v/>
      </c>
      <c r="AI25" s="43">
        <f>IFERROR(AB25/E25,"")</f>
        <v/>
      </c>
      <c r="AJ25" s="44">
        <f>IF(COUNTA(S25,AB25)=0,"",S25+AB25)</f>
        <v/>
      </c>
      <c r="AL25" s="15" t="inlineStr">
        <is>
          <t>OctoSheet.xlsx</t>
        </is>
      </c>
      <c r="AM25" s="15" t="inlineStr">
        <is>
          <t>Ref=OCT-42; SrcNote=2023-07-01</t>
        </is>
      </c>
      <c r="AN25" s="15" t="inlineStr">
        <is>
          <t>BILL</t>
        </is>
      </c>
      <c r="AO25" s="35" t="inlineStr">
        <is>
          <t>MATCH</t>
        </is>
      </c>
      <c r="AP25" s="35" t="n"/>
    </row>
    <row r="26">
      <c r="A26" s="15" t="inlineStr">
        <is>
          <t>OCTOPUS</t>
        </is>
      </c>
      <c r="B26" s="16" t="n">
        <v>45153</v>
      </c>
      <c r="C26" s="16" t="n"/>
      <c r="D26" s="16" t="n">
        <v>45153</v>
      </c>
      <c r="E26" s="38" t="n"/>
      <c r="F26" s="39" t="n">
        <v>186.19</v>
      </c>
      <c r="G26" s="39" t="n"/>
      <c r="H26" s="39" t="n"/>
      <c r="I26" s="39" t="n">
        <v>72.09999999999999</v>
      </c>
      <c r="J26" s="40" t="n">
        <v>258.29</v>
      </c>
      <c r="L26" s="41" t="n">
        <v>59300</v>
      </c>
      <c r="M26" s="41" t="n"/>
      <c r="N26" s="41" t="n"/>
      <c r="O26" s="41" t="n"/>
      <c r="P26" s="21" t="n"/>
      <c r="Q26" s="39" t="n"/>
      <c r="R26" s="39" t="n"/>
      <c r="S26" s="39" t="n"/>
      <c r="T26" s="42" t="n"/>
      <c r="V26" s="41" t="n">
        <v>6520</v>
      </c>
      <c r="W26" s="41" t="n"/>
      <c r="X26" s="41" t="n"/>
      <c r="Y26" s="21" t="n"/>
      <c r="Z26" s="39" t="n"/>
      <c r="AA26" s="39" t="n"/>
      <c r="AB26" s="39" t="n"/>
      <c r="AC26" s="42" t="n"/>
      <c r="AE26" s="32">
        <f>IFERROR(O26/N26,"")</f>
        <v/>
      </c>
      <c r="AF26" s="32">
        <f>IFERROR(AE26*3.6/1.02264,"")</f>
        <v/>
      </c>
      <c r="AG26" s="33">
        <f>IF(COUNTA(A26:J26)=0,"",ROUND(F26+G26+H26+I26-J26,2))</f>
        <v/>
      </c>
      <c r="AH26" s="43">
        <f>IFERROR(S26/E26,"")</f>
        <v/>
      </c>
      <c r="AI26" s="43">
        <f>IFERROR(AB26/E26,"")</f>
        <v/>
      </c>
      <c r="AJ26" s="44">
        <f>IF(COUNTA(S26,AB26)=0,"",S26+AB26)</f>
        <v/>
      </c>
      <c r="AL26" s="15" t="inlineStr">
        <is>
          <t>OctoSheet.xlsx</t>
        </is>
      </c>
      <c r="AM26" s="15" t="inlineStr">
        <is>
          <t>Ref=OCT-44; SrcNote=2023-08-01</t>
        </is>
      </c>
      <c r="AN26" s="15" t="inlineStr">
        <is>
          <t>BILL</t>
        </is>
      </c>
      <c r="AO26" s="35" t="inlineStr">
        <is>
          <t>MATCH</t>
        </is>
      </c>
      <c r="AP26" s="35" t="n"/>
    </row>
    <row r="27">
      <c r="A27" s="15" t="inlineStr">
        <is>
          <t>OCTOPUS</t>
        </is>
      </c>
      <c r="B27" s="16" t="n">
        <v>45183</v>
      </c>
      <c r="C27" s="16" t="n"/>
      <c r="D27" s="16" t="n">
        <v>45183</v>
      </c>
      <c r="E27" s="38" t="n"/>
      <c r="F27" s="39" t="n">
        <v>258.29</v>
      </c>
      <c r="G27" s="39" t="n"/>
      <c r="H27" s="39" t="n"/>
      <c r="I27" s="39" t="n">
        <v>65.40000000000001</v>
      </c>
      <c r="J27" s="40" t="n">
        <v>323.69</v>
      </c>
      <c r="L27" s="41" t="n">
        <v>59450</v>
      </c>
      <c r="M27" s="41" t="n"/>
      <c r="N27" s="41" t="n"/>
      <c r="O27" s="41" t="n"/>
      <c r="P27" s="21" t="n"/>
      <c r="Q27" s="39" t="n"/>
      <c r="R27" s="39" t="n"/>
      <c r="S27" s="39" t="n"/>
      <c r="T27" s="42" t="n"/>
      <c r="V27" s="41" t="n">
        <v>6600</v>
      </c>
      <c r="W27" s="41" t="n"/>
      <c r="X27" s="41" t="n"/>
      <c r="Y27" s="21" t="n"/>
      <c r="Z27" s="39" t="n"/>
      <c r="AA27" s="39" t="n"/>
      <c r="AB27" s="39" t="n"/>
      <c r="AC27" s="42" t="n"/>
      <c r="AE27" s="32">
        <f>IFERROR(O27/N27,"")</f>
        <v/>
      </c>
      <c r="AF27" s="32">
        <f>IFERROR(AE27*3.6/1.02264,"")</f>
        <v/>
      </c>
      <c r="AG27" s="33">
        <f>IF(COUNTA(A27:J27)=0,"",ROUND(F27+G27+H27+I27-J27,2))</f>
        <v/>
      </c>
      <c r="AH27" s="43">
        <f>IFERROR(S27/E27,"")</f>
        <v/>
      </c>
      <c r="AI27" s="43">
        <f>IFERROR(AB27/E27,"")</f>
        <v/>
      </c>
      <c r="AJ27" s="44">
        <f>IF(COUNTA(S27,AB27)=0,"",S27+AB27)</f>
        <v/>
      </c>
      <c r="AL27" s="15" t="inlineStr">
        <is>
          <t>OctoSheet.xlsx</t>
        </is>
      </c>
      <c r="AM27" s="15" t="inlineStr">
        <is>
          <t>Ref=OCT-46; SrcNote=2023-09-01</t>
        </is>
      </c>
      <c r="AN27" s="15" t="inlineStr">
        <is>
          <t>BILL</t>
        </is>
      </c>
      <c r="AO27" s="35" t="inlineStr">
        <is>
          <t>MATCH</t>
        </is>
      </c>
      <c r="AP27" s="35" t="n"/>
    </row>
    <row r="28">
      <c r="A28" s="15" t="inlineStr">
        <is>
          <t>OCTOPUS</t>
        </is>
      </c>
      <c r="B28" s="16" t="n">
        <v>45214</v>
      </c>
      <c r="C28" s="16" t="n"/>
      <c r="D28" s="16" t="n">
        <v>45214</v>
      </c>
      <c r="E28" s="38" t="n"/>
      <c r="F28" s="39" t="n">
        <v>323.69</v>
      </c>
      <c r="G28" s="39" t="n"/>
      <c r="H28" s="39" t="n"/>
      <c r="I28" s="39" t="n">
        <v>92.3</v>
      </c>
      <c r="J28" s="40" t="n">
        <v>415.99</v>
      </c>
      <c r="L28" s="41" t="n">
        <v>59600</v>
      </c>
      <c r="M28" s="41" t="n"/>
      <c r="N28" s="41" t="n"/>
      <c r="O28" s="41" t="n"/>
      <c r="P28" s="21" t="n"/>
      <c r="Q28" s="39" t="n"/>
      <c r="R28" s="39" t="n"/>
      <c r="S28" s="39" t="n"/>
      <c r="T28" s="42" t="n"/>
      <c r="V28" s="41" t="n">
        <v>6700</v>
      </c>
      <c r="W28" s="41" t="n"/>
      <c r="X28" s="41" t="n"/>
      <c r="Y28" s="21" t="n"/>
      <c r="Z28" s="39" t="n"/>
      <c r="AA28" s="39" t="n"/>
      <c r="AB28" s="39" t="n"/>
      <c r="AC28" s="42" t="n"/>
      <c r="AE28" s="32">
        <f>IFERROR(O28/N28,"")</f>
        <v/>
      </c>
      <c r="AF28" s="32">
        <f>IFERROR(AE28*3.6/1.02264,"")</f>
        <v/>
      </c>
      <c r="AG28" s="33">
        <f>IF(COUNTA(A28:J28)=0,"",ROUND(F28+G28+H28+I28-J28,2))</f>
        <v/>
      </c>
      <c r="AH28" s="43">
        <f>IFERROR(S28/E28,"")</f>
        <v/>
      </c>
      <c r="AI28" s="43">
        <f>IFERROR(AB28/E28,"")</f>
        <v/>
      </c>
      <c r="AJ28" s="44">
        <f>IF(COUNTA(S28,AB28)=0,"",S28+AB28)</f>
        <v/>
      </c>
      <c r="AL28" s="15" t="inlineStr">
        <is>
          <t>OctoSheet.xlsx</t>
        </is>
      </c>
      <c r="AM28" s="15" t="inlineStr">
        <is>
          <t>Ref=OCT-48; SrcNote=2023-10-01</t>
        </is>
      </c>
      <c r="AN28" s="15" t="inlineStr">
        <is>
          <t>BILL</t>
        </is>
      </c>
      <c r="AO28" s="35" t="inlineStr">
        <is>
          <t>MATCH</t>
        </is>
      </c>
      <c r="AP28" s="35" t="n"/>
    </row>
    <row r="29">
      <c r="A29" s="15" t="inlineStr">
        <is>
          <t>OCTOPUS</t>
        </is>
      </c>
      <c r="B29" s="16" t="n">
        <v>45244</v>
      </c>
      <c r="C29" s="16" t="n"/>
      <c r="D29" s="16" t="n">
        <v>45244</v>
      </c>
      <c r="E29" s="38" t="n"/>
      <c r="F29" s="39" t="n">
        <v>415.99</v>
      </c>
      <c r="G29" s="39" t="n"/>
      <c r="H29" s="39" t="n"/>
      <c r="I29" s="39" t="n">
        <v>145.2</v>
      </c>
      <c r="J29" s="40" t="n">
        <v>561.1900000000001</v>
      </c>
      <c r="L29" s="41" t="n">
        <v>59850</v>
      </c>
      <c r="M29" s="41" t="n"/>
      <c r="N29" s="41" t="n"/>
      <c r="O29" s="41" t="n"/>
      <c r="P29" s="21" t="n"/>
      <c r="Q29" s="39" t="n"/>
      <c r="R29" s="39" t="n"/>
      <c r="S29" s="39" t="n"/>
      <c r="T29" s="42" t="n"/>
      <c r="V29" s="41" t="n">
        <v>6850</v>
      </c>
      <c r="W29" s="41" t="n"/>
      <c r="X29" s="41" t="n"/>
      <c r="Y29" s="21" t="n"/>
      <c r="Z29" s="39" t="n"/>
      <c r="AA29" s="39" t="n"/>
      <c r="AB29" s="39" t="n"/>
      <c r="AC29" s="42" t="n"/>
      <c r="AE29" s="32">
        <f>IFERROR(O29/N29,"")</f>
        <v/>
      </c>
      <c r="AF29" s="32">
        <f>IFERROR(AE29*3.6/1.02264,"")</f>
        <v/>
      </c>
      <c r="AG29" s="33">
        <f>IF(COUNTA(A29:J29)=0,"",ROUND(F29+G29+H29+I29-J29,2))</f>
        <v/>
      </c>
      <c r="AH29" s="43">
        <f>IFERROR(S29/E29,"")</f>
        <v/>
      </c>
      <c r="AI29" s="43">
        <f>IFERROR(AB29/E29,"")</f>
        <v/>
      </c>
      <c r="AJ29" s="44">
        <f>IF(COUNTA(S29,AB29)=0,"",S29+AB29)</f>
        <v/>
      </c>
      <c r="AL29" s="15" t="inlineStr">
        <is>
          <t>OctoSheet.xlsx</t>
        </is>
      </c>
      <c r="AM29" s="15" t="inlineStr">
        <is>
          <t>Ref=OCT-50; SrcNote=2023-11-01</t>
        </is>
      </c>
      <c r="AN29" s="15" t="inlineStr">
        <is>
          <t>BILL</t>
        </is>
      </c>
      <c r="AO29" s="35" t="inlineStr">
        <is>
          <t>MATCH</t>
        </is>
      </c>
      <c r="AP29" s="35" t="n"/>
    </row>
    <row r="30">
      <c r="A30" s="15" t="inlineStr">
        <is>
          <t>OCTOPUS</t>
        </is>
      </c>
      <c r="B30" s="16" t="n">
        <v>45275</v>
      </c>
      <c r="C30" s="16" t="n"/>
      <c r="D30" s="16" t="n">
        <v>45275</v>
      </c>
      <c r="E30" s="38" t="n"/>
      <c r="F30" s="39" t="n">
        <v>561.1900000000001</v>
      </c>
      <c r="G30" s="39" t="n"/>
      <c r="H30" s="39" t="n"/>
      <c r="I30" s="39" t="n">
        <v>210.5</v>
      </c>
      <c r="J30" s="40" t="n">
        <v>771.6900000000001</v>
      </c>
      <c r="L30" s="41" t="n">
        <v>60200</v>
      </c>
      <c r="M30" s="41" t="n"/>
      <c r="N30" s="41" t="n"/>
      <c r="O30" s="41" t="n"/>
      <c r="P30" s="21" t="n"/>
      <c r="Q30" s="39" t="n"/>
      <c r="R30" s="39" t="n"/>
      <c r="S30" s="39" t="n"/>
      <c r="T30" s="42" t="n"/>
      <c r="V30" s="41" t="n">
        <v>7050</v>
      </c>
      <c r="W30" s="41" t="n"/>
      <c r="X30" s="41" t="n"/>
      <c r="Y30" s="21" t="n"/>
      <c r="Z30" s="39" t="n"/>
      <c r="AA30" s="39" t="n"/>
      <c r="AB30" s="39" t="n"/>
      <c r="AC30" s="42" t="n"/>
      <c r="AE30" s="32">
        <f>IFERROR(O30/N30,"")</f>
        <v/>
      </c>
      <c r="AF30" s="32">
        <f>IFERROR(AE30*3.6/1.02264,"")</f>
        <v/>
      </c>
      <c r="AG30" s="33">
        <f>IF(COUNTA(A30:J30)=0,"",ROUND(F30+G30+H30+I30-J30,2))</f>
        <v/>
      </c>
      <c r="AH30" s="43">
        <f>IFERROR(S30/E30,"")</f>
        <v/>
      </c>
      <c r="AI30" s="43">
        <f>IFERROR(AB30/E30,"")</f>
        <v/>
      </c>
      <c r="AJ30" s="44">
        <f>IF(COUNTA(S30,AB30)=0,"",S30+AB30)</f>
        <v/>
      </c>
      <c r="AL30" s="15" t="inlineStr">
        <is>
          <t>OctoSheet.xlsx</t>
        </is>
      </c>
      <c r="AM30" s="15" t="inlineStr">
        <is>
          <t>Ref=OCT-52; SrcNote=2023-12-01</t>
        </is>
      </c>
      <c r="AN30" s="15" t="inlineStr">
        <is>
          <t>BILL</t>
        </is>
      </c>
      <c r="AO30" s="35" t="inlineStr">
        <is>
          <t>MATCH</t>
        </is>
      </c>
      <c r="AP30" s="35" t="n"/>
    </row>
    <row r="31">
      <c r="A31" s="15" t="inlineStr">
        <is>
          <t>OCTOPUS</t>
        </is>
      </c>
      <c r="B31" s="16" t="n">
        <v>45306</v>
      </c>
      <c r="C31" s="16" t="n"/>
      <c r="D31" s="16" t="n">
        <v>45306</v>
      </c>
      <c r="E31" s="38" t="n"/>
      <c r="F31" s="39" t="n">
        <v>771.6900000000001</v>
      </c>
      <c r="G31" s="39" t="n"/>
      <c r="H31" s="39" t="n"/>
      <c r="I31" s="39" t="n">
        <v>185.3</v>
      </c>
      <c r="J31" s="40" t="n">
        <v>956.99</v>
      </c>
      <c r="L31" s="41" t="n">
        <v>60500</v>
      </c>
      <c r="M31" s="41" t="n"/>
      <c r="N31" s="41" t="n"/>
      <c r="O31" s="41" t="n"/>
      <c r="P31" s="21" t="n"/>
      <c r="Q31" s="39" t="n"/>
      <c r="R31" s="39" t="n"/>
      <c r="S31" s="39" t="n"/>
      <c r="T31" s="42" t="n"/>
      <c r="V31" s="41" t="n">
        <v>7200</v>
      </c>
      <c r="W31" s="41" t="n"/>
      <c r="X31" s="41" t="n"/>
      <c r="Y31" s="21" t="n"/>
      <c r="Z31" s="39" t="n"/>
      <c r="AA31" s="39" t="n"/>
      <c r="AB31" s="39" t="n"/>
      <c r="AC31" s="42" t="n"/>
      <c r="AE31" s="32">
        <f>IFERROR(O31/N31,"")</f>
        <v/>
      </c>
      <c r="AF31" s="32">
        <f>IFERROR(AE31*3.6/1.02264,"")</f>
        <v/>
      </c>
      <c r="AG31" s="33">
        <f>IF(COUNTA(A31:J31)=0,"",ROUND(F31+G31+H31+I31-J31,2))</f>
        <v/>
      </c>
      <c r="AH31" s="43">
        <f>IFERROR(S31/E31,"")</f>
        <v/>
      </c>
      <c r="AI31" s="43">
        <f>IFERROR(AB31/E31,"")</f>
        <v/>
      </c>
      <c r="AJ31" s="44">
        <f>IF(COUNTA(S31,AB31)=0,"",S31+AB31)</f>
        <v/>
      </c>
      <c r="AL31" s="15" t="inlineStr">
        <is>
          <t>OctoSheet.xlsx</t>
        </is>
      </c>
      <c r="AM31" s="15" t="inlineStr">
        <is>
          <t>Ref=OCT-54; SrcNote=Jan 2024 Est</t>
        </is>
      </c>
      <c r="AN31" s="15" t="inlineStr">
        <is>
          <t>EST</t>
        </is>
      </c>
      <c r="AO31" s="35" t="inlineStr">
        <is>
          <t>//</t>
        </is>
      </c>
      <c r="AP31" s="35" t="inlineStr">
        <is>
          <t>Source type EST loaded into NEW for review</t>
        </is>
      </c>
    </row>
    <row r="32">
      <c r="A32" s="15" t="inlineStr">
        <is>
          <t>OCTOPUS</t>
        </is>
      </c>
      <c r="B32" s="16" t="n">
        <v>45336</v>
      </c>
      <c r="C32" s="16" t="n"/>
      <c r="D32" s="16" t="n">
        <v>45336</v>
      </c>
      <c r="E32" s="38" t="n"/>
      <c r="F32" s="39" t="n">
        <v>956.99</v>
      </c>
      <c r="G32" s="39" t="n"/>
      <c r="H32" s="39" t="n"/>
      <c r="I32" s="39" t="n">
        <v>192.4</v>
      </c>
      <c r="J32" s="40" t="n">
        <v>1149.39</v>
      </c>
      <c r="L32" s="41" t="n">
        <v>60850</v>
      </c>
      <c r="M32" s="41" t="n"/>
      <c r="N32" s="41" t="n"/>
      <c r="O32" s="41" t="n"/>
      <c r="P32" s="21" t="n"/>
      <c r="Q32" s="39" t="n"/>
      <c r="R32" s="39" t="n"/>
      <c r="S32" s="39" t="n"/>
      <c r="T32" s="42" t="n"/>
      <c r="V32" s="41" t="n">
        <v>7350</v>
      </c>
      <c r="W32" s="41" t="n"/>
      <c r="X32" s="41" t="n"/>
      <c r="Y32" s="21" t="n"/>
      <c r="Z32" s="39" t="n"/>
      <c r="AA32" s="39" t="n"/>
      <c r="AB32" s="39" t="n"/>
      <c r="AC32" s="42" t="n"/>
      <c r="AE32" s="32">
        <f>IFERROR(O32/N32,"")</f>
        <v/>
      </c>
      <c r="AF32" s="32">
        <f>IFERROR(AE32*3.6/1.02264,"")</f>
        <v/>
      </c>
      <c r="AG32" s="33">
        <f>IF(COUNTA(A32:J32)=0,"",ROUND(F32+G32+H32+I32-J32,2))</f>
        <v/>
      </c>
      <c r="AH32" s="43">
        <f>IFERROR(S32/E32,"")</f>
        <v/>
      </c>
      <c r="AI32" s="43">
        <f>IFERROR(AB32/E32,"")</f>
        <v/>
      </c>
      <c r="AJ32" s="44">
        <f>IF(COUNTA(S32,AB32)=0,"",S32+AB32)</f>
        <v/>
      </c>
      <c r="AL32" s="15" t="inlineStr">
        <is>
          <t>OctoSheet.xlsx</t>
        </is>
      </c>
      <c r="AM32" s="15" t="inlineStr">
        <is>
          <t>Ref=OCT-56; SrcNote=2024-02-01</t>
        </is>
      </c>
      <c r="AN32" s="15" t="inlineStr">
        <is>
          <t>BILL</t>
        </is>
      </c>
      <c r="AO32" s="35" t="inlineStr">
        <is>
          <t>MATCH</t>
        </is>
      </c>
      <c r="AP32" s="35" t="n"/>
    </row>
    <row r="33">
      <c r="A33" s="15" t="inlineStr">
        <is>
          <t>OCTOPUS</t>
        </is>
      </c>
      <c r="B33" s="16" t="n">
        <v>45366</v>
      </c>
      <c r="C33" s="16" t="n"/>
      <c r="D33" s="16" t="n">
        <v>45366</v>
      </c>
      <c r="E33" s="38" t="n"/>
      <c r="F33" s="39" t="n">
        <v>1149.39</v>
      </c>
      <c r="G33" s="39" t="n"/>
      <c r="H33" s="39" t="n"/>
      <c r="I33" s="39" t="n">
        <v>165.2</v>
      </c>
      <c r="J33" s="40" t="n">
        <v>1314.59</v>
      </c>
      <c r="L33" s="41" t="n">
        <v>61100</v>
      </c>
      <c r="M33" s="41" t="n"/>
      <c r="N33" s="41" t="n"/>
      <c r="O33" s="41" t="n"/>
      <c r="P33" s="21" t="n"/>
      <c r="Q33" s="39" t="n"/>
      <c r="R33" s="39" t="n"/>
      <c r="S33" s="39" t="n"/>
      <c r="T33" s="42" t="n"/>
      <c r="V33" s="41" t="n">
        <v>7480</v>
      </c>
      <c r="W33" s="41" t="n"/>
      <c r="X33" s="41" t="n"/>
      <c r="Y33" s="21" t="n"/>
      <c r="Z33" s="39" t="n"/>
      <c r="AA33" s="39" t="n"/>
      <c r="AB33" s="39" t="n"/>
      <c r="AC33" s="42" t="n"/>
      <c r="AE33" s="32">
        <f>IFERROR(O33/N33,"")</f>
        <v/>
      </c>
      <c r="AF33" s="32">
        <f>IFERROR(AE33*3.6/1.02264,"")</f>
        <v/>
      </c>
      <c r="AG33" s="33">
        <f>IF(COUNTA(A33:J33)=0,"",ROUND(F33+G33+H33+I33-J33,2))</f>
        <v/>
      </c>
      <c r="AH33" s="43">
        <f>IFERROR(S33/E33,"")</f>
        <v/>
      </c>
      <c r="AI33" s="43">
        <f>IFERROR(AB33/E33,"")</f>
        <v/>
      </c>
      <c r="AJ33" s="44">
        <f>IF(COUNTA(S33,AB33)=0,"",S33+AB33)</f>
        <v/>
      </c>
      <c r="AL33" s="15" t="inlineStr">
        <is>
          <t>OctoSheet.xlsx</t>
        </is>
      </c>
      <c r="AM33" s="15" t="inlineStr">
        <is>
          <t>Ref=OCT-58; SrcNote=2024-03-01</t>
        </is>
      </c>
      <c r="AN33" s="15" t="inlineStr">
        <is>
          <t>BILL</t>
        </is>
      </c>
      <c r="AO33" s="35" t="inlineStr">
        <is>
          <t>MATCH</t>
        </is>
      </c>
      <c r="AP33" s="35" t="n"/>
    </row>
    <row r="34">
      <c r="A34" s="15" t="inlineStr">
        <is>
          <t>OCTOPUS</t>
        </is>
      </c>
      <c r="B34" s="16" t="n">
        <v>45396</v>
      </c>
      <c r="C34" s="16" t="n"/>
      <c r="D34" s="16" t="n">
        <v>45396</v>
      </c>
      <c r="E34" s="38" t="n"/>
      <c r="F34" s="39" t="n">
        <v>1314.59</v>
      </c>
      <c r="G34" s="39" t="n"/>
      <c r="H34" s="39" t="n"/>
      <c r="I34" s="39" t="n">
        <v>120.4</v>
      </c>
      <c r="J34" s="40" t="n">
        <v>1434.99</v>
      </c>
      <c r="L34" s="41" t="n">
        <v>61250</v>
      </c>
      <c r="M34" s="41" t="n"/>
      <c r="N34" s="41" t="n"/>
      <c r="O34" s="41" t="n"/>
      <c r="P34" s="21" t="n"/>
      <c r="Q34" s="39" t="n"/>
      <c r="R34" s="39" t="n"/>
      <c r="S34" s="39" t="n"/>
      <c r="T34" s="42" t="n"/>
      <c r="V34" s="41" t="n">
        <v>7580</v>
      </c>
      <c r="W34" s="41" t="n"/>
      <c r="X34" s="41" t="n"/>
      <c r="Y34" s="21" t="n"/>
      <c r="Z34" s="39" t="n"/>
      <c r="AA34" s="39" t="n"/>
      <c r="AB34" s="39" t="n"/>
      <c r="AC34" s="42" t="n"/>
      <c r="AE34" s="32">
        <f>IFERROR(O34/N34,"")</f>
        <v/>
      </c>
      <c r="AF34" s="32">
        <f>IFERROR(AE34*3.6/1.02264,"")</f>
        <v/>
      </c>
      <c r="AG34" s="33">
        <f>IF(COUNTA(A34:J34)=0,"",ROUND(F34+G34+H34+I34-J34,2))</f>
        <v/>
      </c>
      <c r="AH34" s="43">
        <f>IFERROR(S34/E34,"")</f>
        <v/>
      </c>
      <c r="AI34" s="43">
        <f>IFERROR(AB34/E34,"")</f>
        <v/>
      </c>
      <c r="AJ34" s="44">
        <f>IF(COUNTA(S34,AB34)=0,"",S34+AB34)</f>
        <v/>
      </c>
      <c r="AL34" s="15" t="inlineStr">
        <is>
          <t>OctoSheet.xlsx</t>
        </is>
      </c>
      <c r="AM34" s="15" t="inlineStr">
        <is>
          <t>Ref=OCT-60; SrcNote=2024-04-01</t>
        </is>
      </c>
      <c r="AN34" s="15" t="inlineStr">
        <is>
          <t>BILL</t>
        </is>
      </c>
      <c r="AO34" s="35" t="inlineStr">
        <is>
          <t>MATCH</t>
        </is>
      </c>
      <c r="AP34" s="35" t="n"/>
    </row>
    <row r="35">
      <c r="A35" s="15" t="inlineStr">
        <is>
          <t>OCTOPUS</t>
        </is>
      </c>
      <c r="B35" s="16" t="n">
        <v>45427</v>
      </c>
      <c r="C35" s="16" t="n"/>
      <c r="D35" s="16" t="n">
        <v>45427</v>
      </c>
      <c r="E35" s="38" t="n"/>
      <c r="F35" s="39" t="n">
        <v>1434.99</v>
      </c>
      <c r="G35" s="39" t="n"/>
      <c r="H35" s="39" t="n"/>
      <c r="I35" s="39" t="n">
        <v>85.3</v>
      </c>
      <c r="J35" s="40" t="n">
        <v>1520.29</v>
      </c>
      <c r="L35" s="41" t="n">
        <v>61350</v>
      </c>
      <c r="M35" s="41" t="n"/>
      <c r="N35" s="41" t="n"/>
      <c r="O35" s="41" t="n"/>
      <c r="P35" s="21" t="n"/>
      <c r="Q35" s="39" t="n"/>
      <c r="R35" s="39" t="n"/>
      <c r="S35" s="39" t="n"/>
      <c r="T35" s="42" t="n"/>
      <c r="V35" s="41" t="n">
        <v>7650</v>
      </c>
      <c r="W35" s="41" t="n"/>
      <c r="X35" s="41" t="n"/>
      <c r="Y35" s="21" t="n"/>
      <c r="Z35" s="39" t="n"/>
      <c r="AA35" s="39" t="n"/>
      <c r="AB35" s="39" t="n"/>
      <c r="AC35" s="42" t="n"/>
      <c r="AE35" s="32">
        <f>IFERROR(O35/N35,"")</f>
        <v/>
      </c>
      <c r="AF35" s="32">
        <f>IFERROR(AE35*3.6/1.02264,"")</f>
        <v/>
      </c>
      <c r="AG35" s="33">
        <f>IF(COUNTA(A35:J35)=0,"",ROUND(F35+G35+H35+I35-J35,2))</f>
        <v/>
      </c>
      <c r="AH35" s="43">
        <f>IFERROR(S35/E35,"")</f>
        <v/>
      </c>
      <c r="AI35" s="43">
        <f>IFERROR(AB35/E35,"")</f>
        <v/>
      </c>
      <c r="AJ35" s="44">
        <f>IF(COUNTA(S35,AB35)=0,"",S35+AB35)</f>
        <v/>
      </c>
      <c r="AL35" s="15" t="inlineStr">
        <is>
          <t>OctoSheet.xlsx</t>
        </is>
      </c>
      <c r="AM35" s="15" t="inlineStr">
        <is>
          <t>Ref=OCT-62; SrcNote=2024-05-01</t>
        </is>
      </c>
      <c r="AN35" s="15" t="inlineStr">
        <is>
          <t>BILL</t>
        </is>
      </c>
      <c r="AO35" s="35" t="inlineStr">
        <is>
          <t>MATCH</t>
        </is>
      </c>
      <c r="AP35" s="35" t="n"/>
    </row>
    <row r="36">
      <c r="A36" s="15" t="inlineStr">
        <is>
          <t>OCTOPUS</t>
        </is>
      </c>
      <c r="B36" s="16" t="n">
        <v>45457</v>
      </c>
      <c r="C36" s="16" t="n"/>
      <c r="D36" s="16" t="n">
        <v>45457</v>
      </c>
      <c r="E36" s="38" t="n"/>
      <c r="F36" s="39" t="n">
        <v>1520.29</v>
      </c>
      <c r="G36" s="39" t="n"/>
      <c r="H36" s="39" t="n"/>
      <c r="I36" s="39" t="n">
        <v>62.1</v>
      </c>
      <c r="J36" s="40" t="n">
        <v>1582.39</v>
      </c>
      <c r="L36" s="41" t="n">
        <v>61420</v>
      </c>
      <c r="M36" s="41" t="n"/>
      <c r="N36" s="41" t="n"/>
      <c r="O36" s="41" t="n"/>
      <c r="P36" s="21" t="n"/>
      <c r="Q36" s="39" t="n"/>
      <c r="R36" s="39" t="n"/>
      <c r="S36" s="39" t="n"/>
      <c r="T36" s="42" t="n"/>
      <c r="V36" s="41" t="n">
        <v>7720</v>
      </c>
      <c r="W36" s="41" t="n"/>
      <c r="X36" s="41" t="n"/>
      <c r="Y36" s="21" t="n"/>
      <c r="Z36" s="39" t="n"/>
      <c r="AA36" s="39" t="n"/>
      <c r="AB36" s="39" t="n"/>
      <c r="AC36" s="42" t="n"/>
      <c r="AE36" s="32">
        <f>IFERROR(O36/N36,"")</f>
        <v/>
      </c>
      <c r="AF36" s="32">
        <f>IFERROR(AE36*3.6/1.02264,"")</f>
        <v/>
      </c>
      <c r="AG36" s="33">
        <f>IF(COUNTA(A36:J36)=0,"",ROUND(F36+G36+H36+I36-J36,2))</f>
        <v/>
      </c>
      <c r="AH36" s="43">
        <f>IFERROR(S36/E36,"")</f>
        <v/>
      </c>
      <c r="AI36" s="43">
        <f>IFERROR(AB36/E36,"")</f>
        <v/>
      </c>
      <c r="AJ36" s="44">
        <f>IF(COUNTA(S36,AB36)=0,"",S36+AB36)</f>
        <v/>
      </c>
      <c r="AL36" s="15" t="inlineStr">
        <is>
          <t>OctoSheet.xlsx</t>
        </is>
      </c>
      <c r="AM36" s="15" t="inlineStr">
        <is>
          <t>Ref=OCT-64; SrcNote=2024-06-01</t>
        </is>
      </c>
      <c r="AN36" s="15" t="inlineStr">
        <is>
          <t>BILL</t>
        </is>
      </c>
      <c r="AO36" s="35" t="inlineStr">
        <is>
          <t>MATCH</t>
        </is>
      </c>
      <c r="AP36" s="35" t="n"/>
    </row>
    <row r="37">
      <c r="A37" s="15" t="inlineStr">
        <is>
          <t>OCTOPUS</t>
        </is>
      </c>
      <c r="B37" s="16" t="n">
        <v>45488</v>
      </c>
      <c r="C37" s="16" t="n"/>
      <c r="D37" s="16" t="n">
        <v>45488</v>
      </c>
      <c r="E37" s="38" t="n"/>
      <c r="F37" s="39" t="n">
        <v>1582.39</v>
      </c>
      <c r="G37" s="39" t="n"/>
      <c r="H37" s="39" t="n"/>
      <c r="I37" s="39" t="n">
        <v>55.4</v>
      </c>
      <c r="J37" s="40" t="n">
        <v>1637.79</v>
      </c>
      <c r="L37" s="41" t="n">
        <v>61480</v>
      </c>
      <c r="M37" s="41" t="n"/>
      <c r="N37" s="41" t="n"/>
      <c r="O37" s="41" t="n"/>
      <c r="P37" s="21" t="n"/>
      <c r="Q37" s="39" t="n"/>
      <c r="R37" s="39" t="n"/>
      <c r="S37" s="39" t="n"/>
      <c r="T37" s="42" t="n"/>
      <c r="V37" s="41" t="n">
        <v>7780</v>
      </c>
      <c r="W37" s="41" t="n"/>
      <c r="X37" s="41" t="n"/>
      <c r="Y37" s="21" t="n"/>
      <c r="Z37" s="39" t="n"/>
      <c r="AA37" s="39" t="n"/>
      <c r="AB37" s="39" t="n"/>
      <c r="AC37" s="42" t="n"/>
      <c r="AE37" s="32">
        <f>IFERROR(O37/N37,"")</f>
        <v/>
      </c>
      <c r="AF37" s="32">
        <f>IFERROR(AE37*3.6/1.02264,"")</f>
        <v/>
      </c>
      <c r="AG37" s="33">
        <f>IF(COUNTA(A37:J37)=0,"",ROUND(F37+G37+H37+I37-J37,2))</f>
        <v/>
      </c>
      <c r="AH37" s="43">
        <f>IFERROR(S37/E37,"")</f>
        <v/>
      </c>
      <c r="AI37" s="43">
        <f>IFERROR(AB37/E37,"")</f>
        <v/>
      </c>
      <c r="AJ37" s="44">
        <f>IF(COUNTA(S37,AB37)=0,"",S37+AB37)</f>
        <v/>
      </c>
      <c r="AL37" s="15" t="inlineStr">
        <is>
          <t>OctoSheet.xlsx</t>
        </is>
      </c>
      <c r="AM37" s="15" t="inlineStr">
        <is>
          <t>Ref=OCT-66; SrcNote=2024-07-01</t>
        </is>
      </c>
      <c r="AN37" s="15" t="inlineStr">
        <is>
          <t>BILL</t>
        </is>
      </c>
      <c r="AO37" s="35" t="inlineStr">
        <is>
          <t>MATCH</t>
        </is>
      </c>
      <c r="AP37" s="35" t="n"/>
    </row>
    <row r="38">
      <c r="A38" s="15" t="inlineStr">
        <is>
          <t>OCTOPUS</t>
        </is>
      </c>
      <c r="B38" s="16" t="n">
        <v>45518</v>
      </c>
      <c r="C38" s="16" t="n"/>
      <c r="D38" s="16" t="n">
        <v>45518</v>
      </c>
      <c r="E38" s="38" t="n"/>
      <c r="F38" s="39" t="n">
        <v>1637.79</v>
      </c>
      <c r="G38" s="39" t="n"/>
      <c r="H38" s="39" t="n"/>
      <c r="I38" s="39" t="n">
        <v>65</v>
      </c>
      <c r="J38" s="40" t="n">
        <v>1702.79</v>
      </c>
      <c r="L38" s="41" t="n">
        <v>61550</v>
      </c>
      <c r="M38" s="41" t="n"/>
      <c r="N38" s="41" t="n"/>
      <c r="O38" s="41" t="n"/>
      <c r="P38" s="21" t="n"/>
      <c r="Q38" s="39" t="n"/>
      <c r="R38" s="39" t="n"/>
      <c r="S38" s="39" t="n"/>
      <c r="T38" s="42" t="n"/>
      <c r="V38" s="41" t="n">
        <v>7850</v>
      </c>
      <c r="W38" s="41" t="n"/>
      <c r="X38" s="41" t="n"/>
      <c r="Y38" s="21" t="n"/>
      <c r="Z38" s="39" t="n"/>
      <c r="AA38" s="39" t="n"/>
      <c r="AB38" s="39" t="n"/>
      <c r="AC38" s="42" t="n"/>
      <c r="AE38" s="32">
        <f>IFERROR(O38/N38,"")</f>
        <v/>
      </c>
      <c r="AF38" s="32">
        <f>IFERROR(AE38*3.6/1.02264,"")</f>
        <v/>
      </c>
      <c r="AG38" s="33">
        <f>IF(COUNTA(A38:J38)=0,"",ROUND(F38+G38+H38+I38-J38,2))</f>
        <v/>
      </c>
      <c r="AH38" s="43">
        <f>IFERROR(S38/E38,"")</f>
        <v/>
      </c>
      <c r="AI38" s="43">
        <f>IFERROR(AB38/E38,"")</f>
        <v/>
      </c>
      <c r="AJ38" s="44">
        <f>IF(COUNTA(S38,AB38)=0,"",S38+AB38)</f>
        <v/>
      </c>
      <c r="AL38" s="15" t="inlineStr">
        <is>
          <t>OctoSheet.xlsx</t>
        </is>
      </c>
      <c r="AM38" s="15" t="inlineStr">
        <is>
          <t>Ref=OCT-68; SrcNote=Aug 2024 Est</t>
        </is>
      </c>
      <c r="AN38" s="15" t="inlineStr">
        <is>
          <t>EST</t>
        </is>
      </c>
      <c r="AO38" s="35" t="inlineStr">
        <is>
          <t>//</t>
        </is>
      </c>
      <c r="AP38" s="35" t="inlineStr">
        <is>
          <t>Source type EST loaded into NEW for review</t>
        </is>
      </c>
    </row>
    <row r="39">
      <c r="A39" s="15" t="inlineStr">
        <is>
          <t>OCTOPUS</t>
        </is>
      </c>
      <c r="B39" s="16" t="n">
        <v>45550</v>
      </c>
      <c r="C39" s="16" t="n"/>
      <c r="D39" s="16" t="n">
        <v>45550</v>
      </c>
      <c r="E39" s="38" t="n"/>
      <c r="F39" s="39" t="n">
        <v>1702.79</v>
      </c>
      <c r="G39" s="39" t="n"/>
      <c r="H39" s="39" t="n"/>
      <c r="I39" s="39" t="n">
        <v>72.09999999999999</v>
      </c>
      <c r="J39" s="40" t="n">
        <v>1774.89</v>
      </c>
      <c r="L39" s="41" t="n">
        <v>61620</v>
      </c>
      <c r="M39" s="41" t="n"/>
      <c r="N39" s="41" t="n"/>
      <c r="O39" s="41" t="n"/>
      <c r="P39" s="21" t="n"/>
      <c r="Q39" s="39" t="n"/>
      <c r="R39" s="39" t="n"/>
      <c r="S39" s="39" t="n"/>
      <c r="T39" s="42" t="n"/>
      <c r="V39" s="41" t="n">
        <v>7920</v>
      </c>
      <c r="W39" s="41" t="n"/>
      <c r="X39" s="41" t="n"/>
      <c r="Y39" s="21" t="n"/>
      <c r="Z39" s="39" t="n"/>
      <c r="AA39" s="39" t="n"/>
      <c r="AB39" s="39" t="n"/>
      <c r="AC39" s="42" t="n"/>
      <c r="AE39" s="32">
        <f>IFERROR(O39/N39,"")</f>
        <v/>
      </c>
      <c r="AF39" s="32">
        <f>IFERROR(AE39*3.6/1.02264,"")</f>
        <v/>
      </c>
      <c r="AG39" s="33">
        <f>IF(COUNTA(A39:J39)=0,"",ROUND(F39+G39+H39+I39-J39,2))</f>
        <v/>
      </c>
      <c r="AH39" s="43">
        <f>IFERROR(S39/E39,"")</f>
        <v/>
      </c>
      <c r="AI39" s="43">
        <f>IFERROR(AB39/E39,"")</f>
        <v/>
      </c>
      <c r="AJ39" s="44">
        <f>IF(COUNTA(S39,AB39)=0,"",S39+AB39)</f>
        <v/>
      </c>
      <c r="AL39" s="15" t="inlineStr">
        <is>
          <t>OctoSheet.xlsx</t>
        </is>
      </c>
      <c r="AM39" s="15" t="inlineStr">
        <is>
          <t>Ref=OCT-70; SrcNote=2024-09-01</t>
        </is>
      </c>
      <c r="AN39" s="15" t="inlineStr">
        <is>
          <t>BILL</t>
        </is>
      </c>
      <c r="AO39" s="35" t="inlineStr">
        <is>
          <t>MATCH</t>
        </is>
      </c>
      <c r="AP39" s="35" t="n"/>
    </row>
    <row r="40">
      <c r="A40" s="15" t="inlineStr">
        <is>
          <t>OCTOPUS</t>
        </is>
      </c>
      <c r="B40" s="16" t="n">
        <v>45579</v>
      </c>
      <c r="C40" s="16" t="n"/>
      <c r="D40" s="16" t="n">
        <v>45579</v>
      </c>
      <c r="E40" s="38" t="n"/>
      <c r="F40" s="39" t="n">
        <v>1774.89</v>
      </c>
      <c r="G40" s="39" t="n"/>
      <c r="H40" s="39" t="n"/>
      <c r="I40" s="39" t="n">
        <v>110.4</v>
      </c>
      <c r="J40" s="40" t="n">
        <v>1885.29</v>
      </c>
      <c r="L40" s="41" t="n">
        <v>61750</v>
      </c>
      <c r="M40" s="41" t="n"/>
      <c r="N40" s="41" t="n"/>
      <c r="O40" s="41" t="n"/>
      <c r="P40" s="21" t="n"/>
      <c r="Q40" s="39" t="n"/>
      <c r="R40" s="39" t="n"/>
      <c r="S40" s="39" t="n"/>
      <c r="T40" s="42" t="n"/>
      <c r="V40" s="41" t="n">
        <v>8020</v>
      </c>
      <c r="W40" s="41" t="n"/>
      <c r="X40" s="41" t="n"/>
      <c r="Y40" s="21" t="n"/>
      <c r="Z40" s="39" t="n"/>
      <c r="AA40" s="39" t="n"/>
      <c r="AB40" s="39" t="n"/>
      <c r="AC40" s="42" t="n"/>
      <c r="AE40" s="32">
        <f>IFERROR(O40/N40,"")</f>
        <v/>
      </c>
      <c r="AF40" s="32">
        <f>IFERROR(AE40*3.6/1.02264,"")</f>
        <v/>
      </c>
      <c r="AG40" s="33">
        <f>IF(COUNTA(A40:J40)=0,"",ROUND(F40+G40+H40+I40-J40,2))</f>
        <v/>
      </c>
      <c r="AH40" s="43">
        <f>IFERROR(S40/E40,"")</f>
        <v/>
      </c>
      <c r="AI40" s="43">
        <f>IFERROR(AB40/E40,"")</f>
        <v/>
      </c>
      <c r="AJ40" s="44">
        <f>IF(COUNTA(S40,AB40)=0,"",S40+AB40)</f>
        <v/>
      </c>
      <c r="AL40" s="15" t="inlineStr">
        <is>
          <t>OctoSheet.xlsx</t>
        </is>
      </c>
      <c r="AM40" s="15" t="inlineStr">
        <is>
          <t>Ref=OCT-72; SrcNote=2024-10-01</t>
        </is>
      </c>
      <c r="AN40" s="15" t="inlineStr">
        <is>
          <t>BILL</t>
        </is>
      </c>
      <c r="AO40" s="35" t="inlineStr">
        <is>
          <t>MATCH</t>
        </is>
      </c>
      <c r="AP40" s="35" t="n"/>
    </row>
    <row r="41">
      <c r="A41" s="15" t="inlineStr">
        <is>
          <t>OCTOPUS</t>
        </is>
      </c>
      <c r="B41" s="16" t="n">
        <v>45611</v>
      </c>
      <c r="C41" s="16" t="n"/>
      <c r="D41" s="16" t="n">
        <v>45611</v>
      </c>
      <c r="E41" s="38" t="n"/>
      <c r="F41" s="39" t="n">
        <v>1885.29</v>
      </c>
      <c r="G41" s="39" t="n"/>
      <c r="H41" s="39" t="n"/>
      <c r="I41" s="39" t="n">
        <v>165.3</v>
      </c>
      <c r="J41" s="40" t="n">
        <v>2050.59</v>
      </c>
      <c r="L41" s="41" t="n">
        <v>61950</v>
      </c>
      <c r="M41" s="41" t="n"/>
      <c r="N41" s="41" t="n"/>
      <c r="O41" s="41" t="n"/>
      <c r="P41" s="21" t="n"/>
      <c r="Q41" s="39" t="n"/>
      <c r="R41" s="39" t="n"/>
      <c r="S41" s="39" t="n"/>
      <c r="T41" s="42" t="n"/>
      <c r="V41" s="41" t="n">
        <v>8150</v>
      </c>
      <c r="W41" s="41" t="n"/>
      <c r="X41" s="41" t="n"/>
      <c r="Y41" s="21" t="n"/>
      <c r="Z41" s="39" t="n"/>
      <c r="AA41" s="39" t="n"/>
      <c r="AB41" s="39" t="n"/>
      <c r="AC41" s="42" t="n"/>
      <c r="AE41" s="32">
        <f>IFERROR(O41/N41,"")</f>
        <v/>
      </c>
      <c r="AF41" s="32">
        <f>IFERROR(AE41*3.6/1.02264,"")</f>
        <v/>
      </c>
      <c r="AG41" s="33">
        <f>IF(COUNTA(A41:J41)=0,"",ROUND(F41+G41+H41+I41-J41,2))</f>
        <v/>
      </c>
      <c r="AH41" s="43">
        <f>IFERROR(S41/E41,"")</f>
        <v/>
      </c>
      <c r="AI41" s="43">
        <f>IFERROR(AB41/E41,"")</f>
        <v/>
      </c>
      <c r="AJ41" s="44">
        <f>IF(COUNTA(S41,AB41)=0,"",S41+AB41)</f>
        <v/>
      </c>
      <c r="AL41" s="15" t="inlineStr">
        <is>
          <t>OctoSheet.xlsx</t>
        </is>
      </c>
      <c r="AM41" s="15" t="inlineStr">
        <is>
          <t>Ref=OCT-74; SrcNote=2024-11-01</t>
        </is>
      </c>
      <c r="AN41" s="15" t="inlineStr">
        <is>
          <t>BILL</t>
        </is>
      </c>
      <c r="AO41" s="35" t="inlineStr">
        <is>
          <t>MATCH</t>
        </is>
      </c>
      <c r="AP41" s="35" t="n"/>
    </row>
    <row r="42">
      <c r="A42" s="15" t="inlineStr">
        <is>
          <t>OCTOPUS</t>
        </is>
      </c>
      <c r="B42" s="16" t="n">
        <v>45624</v>
      </c>
      <c r="C42" s="16" t="n"/>
      <c r="D42" s="16" t="n">
        <v>45624</v>
      </c>
      <c r="E42" s="38" t="n"/>
      <c r="F42" s="39" t="n">
        <v>2050.59</v>
      </c>
      <c r="G42" s="39" t="n"/>
      <c r="H42" s="39" t="n"/>
      <c r="I42" s="39" t="n">
        <v>401.55</v>
      </c>
      <c r="J42" s="40" t="n">
        <v>-2524.03</v>
      </c>
      <c r="L42" s="41" t="n">
        <v>61850</v>
      </c>
      <c r="M42" s="41" t="n"/>
      <c r="N42" s="41" t="n"/>
      <c r="O42" s="41" t="n"/>
      <c r="P42" s="21" t="n"/>
      <c r="Q42" s="39" t="n"/>
      <c r="R42" s="39" t="n"/>
      <c r="S42" s="39" t="n"/>
      <c r="T42" s="42" t="n"/>
      <c r="V42" s="41" t="n">
        <v>7620</v>
      </c>
      <c r="W42" s="41" t="n"/>
      <c r="X42" s="41" t="n"/>
      <c r="Y42" s="21" t="n"/>
      <c r="Z42" s="39" t="n"/>
      <c r="AA42" s="39" t="n"/>
      <c r="AB42" s="39" t="n"/>
      <c r="AC42" s="42" t="n"/>
      <c r="AE42" s="32">
        <f>IFERROR(O42/N42,"")</f>
        <v/>
      </c>
      <c r="AF42" s="32">
        <f>IFERROR(AE42*3.6/1.02264,"")</f>
        <v/>
      </c>
      <c r="AG42" s="33">
        <f>IF(COUNTA(A42:J42)=0,"",ROUND(F42+G42+H42+I42-J42,2))</f>
        <v/>
      </c>
      <c r="AH42" s="43">
        <f>IFERROR(S42/E42,"")</f>
        <v/>
      </c>
      <c r="AI42" s="43">
        <f>IFERROR(AB42/E42,"")</f>
        <v/>
      </c>
      <c r="AJ42" s="44">
        <f>IF(COUNTA(S42,AB42)=0,"",S42+AB42)</f>
        <v/>
      </c>
      <c r="AL42" s="15" t="inlineStr">
        <is>
          <t>OctoSheet.xlsx</t>
        </is>
      </c>
      <c r="AM42" s="15" t="inlineStr">
        <is>
          <t>Ref=OCT-77</t>
        </is>
      </c>
      <c r="AN42" s="15" t="inlineStr">
        <is>
          <t>EST</t>
        </is>
      </c>
      <c r="AO42" s="35" t="inlineStr">
        <is>
          <t>//</t>
        </is>
      </c>
      <c r="AP42" s="35" t="inlineStr">
        <is>
          <t>High Estimate vs Obsidian; Source type EST loaded into NEW for review</t>
        </is>
      </c>
    </row>
    <row r="43">
      <c r="A43" s="15" t="inlineStr">
        <is>
          <t>OCTOPUS</t>
        </is>
      </c>
      <c r="B43" s="16" t="n">
        <v>45657</v>
      </c>
      <c r="C43" s="16" t="n"/>
      <c r="D43" s="16" t="n">
        <v>45657</v>
      </c>
      <c r="E43" s="38" t="n"/>
      <c r="F43" s="39" t="n">
        <v>-2524.03</v>
      </c>
      <c r="G43" s="39" t="n"/>
      <c r="H43" s="39" t="n">
        <v>536.22</v>
      </c>
      <c r="I43" s="39" t="n"/>
      <c r="J43" s="40" t="n">
        <v>-2865.02</v>
      </c>
      <c r="L43" s="41" t="n"/>
      <c r="M43" s="41" t="n"/>
      <c r="N43" s="41" t="n"/>
      <c r="O43" s="41" t="n"/>
      <c r="P43" s="21" t="n"/>
      <c r="Q43" s="39" t="n"/>
      <c r="R43" s="39" t="n"/>
      <c r="S43" s="39" t="n"/>
      <c r="T43" s="42" t="n"/>
      <c r="V43" s="41" t="n"/>
      <c r="W43" s="41" t="n"/>
      <c r="X43" s="41" t="n"/>
      <c r="Y43" s="21" t="n"/>
      <c r="Z43" s="39" t="n"/>
      <c r="AA43" s="39" t="n"/>
      <c r="AB43" s="39" t="n"/>
      <c r="AC43" s="42" t="n"/>
      <c r="AE43" s="32">
        <f>IFERROR(O43/N43,"")</f>
        <v/>
      </c>
      <c r="AF43" s="32">
        <f>IFERROR(AE43*3.6/1.02264,"")</f>
        <v/>
      </c>
      <c r="AG43" s="33">
        <f>IF(COUNTA(A43:J43)=0,"",ROUND(F43+G43+H43+I43-J43,2))</f>
        <v/>
      </c>
      <c r="AH43" s="43">
        <f>IFERROR(S43/E43,"")</f>
        <v/>
      </c>
      <c r="AI43" s="43">
        <f>IFERROR(AB43/E43,"")</f>
        <v/>
      </c>
      <c r="AJ43" s="44">
        <f>IF(COUNTA(S43,AB43)=0,"",S43+AB43)</f>
        <v/>
      </c>
      <c r="AL43" s="15" t="inlineStr">
        <is>
          <t>OctoSheet.xlsx</t>
        </is>
      </c>
      <c r="AM43" s="15" t="inlineStr">
        <is>
          <t>Ref=OCT-83</t>
        </is>
      </c>
      <c r="AN43" s="15" t="inlineStr">
        <is>
          <t>ADJUST</t>
        </is>
      </c>
      <c r="AO43" s="35" t="inlineStr">
        <is>
          <t>****</t>
        </is>
      </c>
      <c r="AP43" s="35" t="inlineStr">
        <is>
          <t>New Year Overwrite spike; Mapped ADJUST amount to ADJ</t>
        </is>
      </c>
    </row>
    <row r="44">
      <c r="A44" s="15" t="inlineStr">
        <is>
          <t>OCTOPUS</t>
        </is>
      </c>
      <c r="B44" s="16" t="n">
        <v>45672</v>
      </c>
      <c r="C44" s="16" t="n"/>
      <c r="D44" s="16" t="n">
        <v>45672</v>
      </c>
      <c r="E44" s="38" t="n"/>
      <c r="F44" s="39" t="n">
        <v>-2865.02</v>
      </c>
      <c r="G44" s="39" t="n"/>
      <c r="H44" s="39" t="n"/>
      <c r="I44" s="39" t="n">
        <v>110.21</v>
      </c>
      <c r="J44" s="40" t="n">
        <v>-2975.23</v>
      </c>
      <c r="L44" s="41" t="n">
        <v>290</v>
      </c>
      <c r="M44" s="41" t="n"/>
      <c r="N44" s="41" t="n"/>
      <c r="O44" s="41" t="n"/>
      <c r="P44" s="21" t="n"/>
      <c r="Q44" s="39" t="n"/>
      <c r="R44" s="39" t="n"/>
      <c r="S44" s="39" t="n"/>
      <c r="T44" s="42" t="n"/>
      <c r="V44" s="41" t="n">
        <v>800</v>
      </c>
      <c r="W44" s="41" t="n"/>
      <c r="X44" s="41" t="n"/>
      <c r="Y44" s="21" t="n"/>
      <c r="Z44" s="39" t="n"/>
      <c r="AA44" s="39" t="n"/>
      <c r="AB44" s="39" t="n"/>
      <c r="AC44" s="42" t="n"/>
      <c r="AE44" s="32">
        <f>IFERROR(O44/N44,"")</f>
        <v/>
      </c>
      <c r="AF44" s="32">
        <f>IFERROR(AE44*3.6/1.02264,"")</f>
        <v/>
      </c>
      <c r="AG44" s="33">
        <f>IF(COUNTA(A44:J44)=0,"",ROUND(F44+G44+H44+I44-J44,2))</f>
        <v/>
      </c>
      <c r="AH44" s="43">
        <f>IFERROR(S44/E44,"")</f>
        <v/>
      </c>
      <c r="AI44" s="43">
        <f>IFERROR(AB44/E44,"")</f>
        <v/>
      </c>
      <c r="AJ44" s="44">
        <f>IF(COUNTA(S44,AB44)=0,"",S44+AB44)</f>
        <v/>
      </c>
      <c r="AL44" s="15" t="inlineStr">
        <is>
          <t>OctoSheet.xlsx</t>
        </is>
      </c>
      <c r="AM44" s="15" t="inlineStr">
        <is>
          <t>Ref=OCT-85</t>
        </is>
      </c>
      <c r="AN44" s="15" t="inlineStr">
        <is>
          <t>BILL</t>
        </is>
      </c>
      <c r="AO44" s="35" t="inlineStr">
        <is>
          <t>MATCH</t>
        </is>
      </c>
      <c r="AP44" s="35" t="inlineStr">
        <is>
          <t>2025 Cycle Start</t>
        </is>
      </c>
    </row>
    <row r="45">
      <c r="A45" s="15" t="inlineStr">
        <is>
          <t>OCTOPUS</t>
        </is>
      </c>
      <c r="B45" s="16" t="n">
        <v>45746</v>
      </c>
      <c r="C45" s="16" t="n"/>
      <c r="D45" s="16" t="n">
        <v>45746</v>
      </c>
      <c r="E45" s="38" t="n"/>
      <c r="F45" s="39" t="n">
        <v>-2975.23</v>
      </c>
      <c r="G45" s="39" t="n"/>
      <c r="H45" s="39" t="n">
        <v>745</v>
      </c>
      <c r="I45" s="39" t="n"/>
      <c r="J45" s="40" t="n">
        <v>-3034.65</v>
      </c>
      <c r="L45" s="41" t="n"/>
      <c r="M45" s="41" t="n"/>
      <c r="N45" s="41" t="n"/>
      <c r="O45" s="41" t="n"/>
      <c r="P45" s="21" t="n"/>
      <c r="Q45" s="39" t="n"/>
      <c r="R45" s="39" t="n"/>
      <c r="S45" s="39" t="n"/>
      <c r="T45" s="42" t="n"/>
      <c r="V45" s="41" t="n"/>
      <c r="W45" s="41" t="n"/>
      <c r="X45" s="41" t="n"/>
      <c r="Y45" s="21" t="n"/>
      <c r="Z45" s="39" t="n"/>
      <c r="AA45" s="39" t="n"/>
      <c r="AB45" s="39" t="n"/>
      <c r="AC45" s="42" t="n"/>
      <c r="AE45" s="32">
        <f>IFERROR(O45/N45,"")</f>
        <v/>
      </c>
      <c r="AF45" s="32">
        <f>IFERROR(AE45*3.6/1.02264,"")</f>
        <v/>
      </c>
      <c r="AG45" s="33">
        <f>IF(COUNTA(A45:J45)=0,"",ROUND(F45+G45+H45+I45-J45,2))</f>
        <v/>
      </c>
      <c r="AH45" s="43">
        <f>IFERROR(S45/E45,"")</f>
        <v/>
      </c>
      <c r="AI45" s="43">
        <f>IFERROR(AB45/E45,"")</f>
        <v/>
      </c>
      <c r="AJ45" s="44">
        <f>IF(COUNTA(S45,AB45)=0,"",S45+AB45)</f>
        <v/>
      </c>
      <c r="AL45" s="15" t="inlineStr">
        <is>
          <t>OctoSheet.xlsx</t>
        </is>
      </c>
      <c r="AM45" s="15" t="inlineStr">
        <is>
          <t>Ref=OCT-91</t>
        </is>
      </c>
      <c r="AN45" s="15" t="inlineStr">
        <is>
          <t>CORRECT</t>
        </is>
      </c>
      <c r="AO45" s="35" t="inlineStr">
        <is>
          <t>****</t>
        </is>
      </c>
      <c r="AP45" s="35" t="inlineStr">
        <is>
          <t>Massive Gas Adjustment Spike; Mapped CORRECT amount to ADJ</t>
        </is>
      </c>
    </row>
    <row r="46">
      <c r="A46" s="15" t="inlineStr">
        <is>
          <t>OCTOPUS</t>
        </is>
      </c>
      <c r="B46" s="16" t="n">
        <v>45822</v>
      </c>
      <c r="C46" s="16" t="n"/>
      <c r="D46" s="16" t="n">
        <v>45822</v>
      </c>
      <c r="E46" s="38" t="n"/>
      <c r="F46" s="39" t="n">
        <v>-3034.65</v>
      </c>
      <c r="G46" s="39" t="n"/>
      <c r="H46" s="39" t="n"/>
      <c r="I46" s="39" t="n">
        <v>65.3</v>
      </c>
      <c r="J46" s="40" t="n">
        <v>-2969.35</v>
      </c>
      <c r="L46" s="41" t="n">
        <v>63500</v>
      </c>
      <c r="M46" s="41" t="n"/>
      <c r="N46" s="41" t="n"/>
      <c r="O46" s="41" t="n"/>
      <c r="P46" s="21" t="n"/>
      <c r="Q46" s="39" t="n"/>
      <c r="R46" s="39" t="n"/>
      <c r="S46" s="39" t="n"/>
      <c r="T46" s="42" t="n"/>
      <c r="V46" s="41" t="n">
        <v>8200</v>
      </c>
      <c r="W46" s="41" t="n"/>
      <c r="X46" s="41" t="n"/>
      <c r="Y46" s="21" t="n"/>
      <c r="Z46" s="39" t="n"/>
      <c r="AA46" s="39" t="n"/>
      <c r="AB46" s="39" t="n"/>
      <c r="AC46" s="42" t="n"/>
      <c r="AE46" s="32">
        <f>IFERROR(O46/N46,"")</f>
        <v/>
      </c>
      <c r="AF46" s="32">
        <f>IFERROR(AE46*3.6/1.02264,"")</f>
        <v/>
      </c>
      <c r="AG46" s="33">
        <f>IF(COUNTA(A46:J46)=0,"",ROUND(F46+G46+H46+I46-J46,2))</f>
        <v/>
      </c>
      <c r="AH46" s="43">
        <f>IFERROR(S46/E46,"")</f>
        <v/>
      </c>
      <c r="AI46" s="43">
        <f>IFERROR(AB46/E46,"")</f>
        <v/>
      </c>
      <c r="AJ46" s="44">
        <f>IF(COUNTA(S46,AB46)=0,"",S46+AB46)</f>
        <v/>
      </c>
      <c r="AL46" s="15" t="inlineStr">
        <is>
          <t>OctoSheet.xlsx</t>
        </is>
      </c>
      <c r="AM46" s="15" t="inlineStr">
        <is>
          <t>Ref=OCT-98</t>
        </is>
      </c>
      <c r="AN46" s="15" t="inlineStr">
        <is>
          <t>ACTUAL</t>
        </is>
      </c>
      <c r="AO46" s="35" t="inlineStr">
        <is>
          <t>LOG</t>
        </is>
      </c>
      <c r="AP46" s="35" t="inlineStr">
        <is>
          <t>Last clean Obsidian match; Source type ACTUAL loaded into NEW for review</t>
        </is>
      </c>
    </row>
    <row r="47">
      <c r="A47" s="15" t="inlineStr">
        <is>
          <t>OCTOPUS</t>
        </is>
      </c>
      <c r="B47" s="16" t="n">
        <v>45898</v>
      </c>
      <c r="C47" s="16" t="n"/>
      <c r="D47" s="16" t="n">
        <v>45898</v>
      </c>
      <c r="E47" s="38" t="n"/>
      <c r="F47" s="39" t="n">
        <v>-2969.35</v>
      </c>
      <c r="G47" s="39" t="n"/>
      <c r="H47" s="39" t="n"/>
      <c r="I47" s="39" t="n">
        <v>401.77</v>
      </c>
      <c r="J47" s="40" t="n">
        <v>-3142.91</v>
      </c>
      <c r="L47" s="41" t="n">
        <v>64200</v>
      </c>
      <c r="M47" s="41" t="n"/>
      <c r="N47" s="41" t="n"/>
      <c r="O47" s="41" t="n"/>
      <c r="P47" s="21" t="n"/>
      <c r="Q47" s="39" t="n"/>
      <c r="R47" s="39" t="n"/>
      <c r="S47" s="39" t="n"/>
      <c r="T47" s="42" t="n"/>
      <c r="V47" s="41" t="n">
        <v>8500</v>
      </c>
      <c r="W47" s="41" t="n"/>
      <c r="X47" s="41" t="n"/>
      <c r="Y47" s="21" t="n"/>
      <c r="Z47" s="39" t="n"/>
      <c r="AA47" s="39" t="n"/>
      <c r="AB47" s="39" t="n"/>
      <c r="AC47" s="42" t="n"/>
      <c r="AE47" s="32">
        <f>IFERROR(O47/N47,"")</f>
        <v/>
      </c>
      <c r="AF47" s="32">
        <f>IFERROR(AE47*3.6/1.02264,"")</f>
        <v/>
      </c>
      <c r="AG47" s="33">
        <f>IF(COUNTA(A47:J47)=0,"",ROUND(F47+G47+H47+I47-J47,2))</f>
        <v/>
      </c>
      <c r="AH47" s="43">
        <f>IFERROR(S47/E47,"")</f>
        <v/>
      </c>
      <c r="AI47" s="43">
        <f>IFERROR(AB47/E47,"")</f>
        <v/>
      </c>
      <c r="AJ47" s="44">
        <f>IF(COUNTA(S47,AB47)=0,"",S47+AB47)</f>
        <v/>
      </c>
      <c r="AL47" s="15" t="inlineStr">
        <is>
          <t>OctoSheet.xlsx</t>
        </is>
      </c>
      <c r="AM47" s="15" t="inlineStr">
        <is>
          <t>Ref=OCT-99</t>
        </is>
      </c>
      <c r="AN47" s="15" t="inlineStr">
        <is>
          <t>EST</t>
        </is>
      </c>
      <c r="AO47" s="35" t="inlineStr">
        <is>
          <t>//</t>
        </is>
      </c>
      <c r="AP47" s="35" t="inlineStr">
        <is>
          <t>35% Variance vs actuals; Source type EST loaded into NEW for review</t>
        </is>
      </c>
    </row>
    <row r="48">
      <c r="A48" s="15" t="inlineStr">
        <is>
          <t>OCTOPUS</t>
        </is>
      </c>
      <c r="B48" s="16" t="n">
        <v>46080</v>
      </c>
      <c r="C48" s="16" t="n"/>
      <c r="D48" s="16" t="n">
        <v>46080</v>
      </c>
      <c r="E48" s="38" t="n"/>
      <c r="F48" s="39" t="n">
        <v>-3142.91</v>
      </c>
      <c r="G48" s="39" t="n"/>
      <c r="H48" s="39" t="n">
        <v>200</v>
      </c>
      <c r="I48" s="39" t="n"/>
      <c r="J48" s="40" t="n"/>
      <c r="L48" s="41" t="n"/>
      <c r="M48" s="41" t="n"/>
      <c r="N48" s="41" t="n"/>
      <c r="O48" s="41" t="n"/>
      <c r="P48" s="21" t="n"/>
      <c r="Q48" s="39" t="n"/>
      <c r="R48" s="39" t="n"/>
      <c r="S48" s="39" t="n"/>
      <c r="T48" s="42" t="n"/>
      <c r="V48" s="41" t="n"/>
      <c r="W48" s="41" t="n"/>
      <c r="X48" s="41" t="n"/>
      <c r="Y48" s="21" t="n"/>
      <c r="Z48" s="39" t="n"/>
      <c r="AA48" s="39" t="n"/>
      <c r="AB48" s="39" t="n"/>
      <c r="AC48" s="42" t="n"/>
      <c r="AE48" s="32">
        <f>IFERROR(O48/N48,"")</f>
        <v/>
      </c>
      <c r="AF48" s="32">
        <f>IFERROR(AE48*3.6/1.02264,"")</f>
        <v/>
      </c>
      <c r="AG48" s="33">
        <f>IF(COUNTA(A48:J48)=0,"",ROUND(F48+G48+H48+I48-J48,2))</f>
        <v/>
      </c>
      <c r="AH48" s="43">
        <f>IFERROR(S48/E48,"")</f>
        <v/>
      </c>
      <c r="AI48" s="43">
        <f>IFERROR(AB48/E48,"")</f>
        <v/>
      </c>
      <c r="AJ48" s="44">
        <f>IF(COUNTA(S48,AB48)=0,"",S48+AB48)</f>
        <v/>
      </c>
      <c r="AL48" s="15" t="inlineStr">
        <is>
          <t>OctoSheet.xlsx</t>
        </is>
      </c>
      <c r="AM48" s="15" t="inlineStr">
        <is>
          <t>Ref=NOTICE</t>
        </is>
      </c>
      <c r="AN48" s="15" t="inlineStr">
        <is>
          <t>CAP</t>
        </is>
      </c>
      <c r="AO48" s="35" t="inlineStr">
        <is>
          <t>MANDATE</t>
        </is>
      </c>
      <c r="AP48" s="35" t="inlineStr">
        <is>
          <t>Formal Â£200 limit issued; Mapped CAP amount to ADJ</t>
        </is>
      </c>
    </row>
    <row r="49">
      <c r="A49" s="15" t="inlineStr">
        <is>
          <t>OCTOPUS</t>
        </is>
      </c>
      <c r="B49" s="16" t="n">
        <v>46359</v>
      </c>
      <c r="C49" s="16" t="n"/>
      <c r="D49" s="16" t="n">
        <v>46359</v>
      </c>
      <c r="E49" s="38" t="n"/>
      <c r="F49" s="39" t="n">
        <v>-3142.91</v>
      </c>
      <c r="G49" s="39" t="n"/>
      <c r="H49" s="39" t="n">
        <v>300</v>
      </c>
      <c r="I49" s="39" t="n"/>
      <c r="J49" s="40" t="n"/>
      <c r="L49" s="41" t="n"/>
      <c r="M49" s="41" t="n"/>
      <c r="N49" s="41" t="n"/>
      <c r="O49" s="41" t="n"/>
      <c r="P49" s="21" t="n"/>
      <c r="Q49" s="39" t="n"/>
      <c r="R49" s="39" t="n"/>
      <c r="S49" s="39" t="n"/>
      <c r="T49" s="42" t="n"/>
      <c r="V49" s="41" t="n"/>
      <c r="W49" s="41" t="n"/>
      <c r="X49" s="41" t="n"/>
      <c r="Y49" s="21" t="n"/>
      <c r="Z49" s="39" t="n"/>
      <c r="AA49" s="39" t="n"/>
      <c r="AB49" s="39" t="n"/>
      <c r="AC49" s="42" t="n"/>
      <c r="AE49" s="32">
        <f>IFERROR(O49/N49,"")</f>
        <v/>
      </c>
      <c r="AF49" s="32">
        <f>IFERROR(AE49*3.6/1.02264,"")</f>
        <v/>
      </c>
      <c r="AG49" s="33">
        <f>IF(COUNTA(A49:J49)=0,"",ROUND(F49+G49+H49+I49-J49,2))</f>
        <v/>
      </c>
      <c r="AH49" s="43">
        <f>IFERROR(S49/E49,"")</f>
        <v/>
      </c>
      <c r="AI49" s="43">
        <f>IFERROR(AB49/E49,"")</f>
        <v/>
      </c>
      <c r="AJ49" s="44">
        <f>IF(COUNTA(S49,AB49)=0,"",S49+AB49)</f>
        <v/>
      </c>
      <c r="AL49" s="15" t="inlineStr">
        <is>
          <t>OctoSheet.xlsx</t>
        </is>
      </c>
      <c r="AM49" s="15" t="inlineStr">
        <is>
          <t>Ref=BANK</t>
        </is>
      </c>
      <c r="AN49" s="15" t="inlineStr">
        <is>
          <t>BREACH</t>
        </is>
      </c>
      <c r="AO49" s="35" t="inlineStr">
        <is>
          <t>****</t>
        </is>
      </c>
      <c r="AP49" s="35" t="inlineStr">
        <is>
          <t>Failed Â£300 vs Â£200 Cap; Mapped BREACH amount to ADJ</t>
        </is>
      </c>
    </row>
    <row r="50">
      <c r="A50" s="15" t="inlineStr">
        <is>
          <t>OCTOPUS</t>
        </is>
      </c>
      <c r="B50" s="16" t="n">
        <v>46102</v>
      </c>
      <c r="C50" s="16" t="n"/>
      <c r="D50" s="16" t="n">
        <v>46102</v>
      </c>
      <c r="E50" s="38" t="n"/>
      <c r="F50" s="39" t="n">
        <v>-3142.91</v>
      </c>
      <c r="G50" s="39" t="n"/>
      <c r="H50" s="39" t="n">
        <v>0</v>
      </c>
      <c r="I50" s="39" t="n"/>
      <c r="J50" s="40" t="n"/>
      <c r="L50" s="41" t="n"/>
      <c r="M50" s="41" t="n"/>
      <c r="N50" s="41" t="n"/>
      <c r="O50" s="41" t="n"/>
      <c r="P50" s="21" t="n"/>
      <c r="Q50" s="39" t="n"/>
      <c r="R50" s="39" t="n"/>
      <c r="S50" s="39" t="n"/>
      <c r="T50" s="42" t="n"/>
      <c r="V50" s="41" t="n"/>
      <c r="W50" s="41" t="n"/>
      <c r="X50" s="41" t="n"/>
      <c r="Y50" s="21" t="n"/>
      <c r="Z50" s="39" t="n"/>
      <c r="AA50" s="39" t="n"/>
      <c r="AB50" s="39" t="n"/>
      <c r="AC50" s="42" t="n"/>
      <c r="AE50" s="32">
        <f>IFERROR(O50/N50,"")</f>
        <v/>
      </c>
      <c r="AF50" s="32">
        <f>IFERROR(AE50*3.6/1.02264,"")</f>
        <v/>
      </c>
      <c r="AG50" s="33">
        <f>IF(COUNTA(A50:J50)=0,"",ROUND(F50+G50+H50+I50-J50,2))</f>
        <v/>
      </c>
      <c r="AH50" s="43">
        <f>IFERROR(S50/E50,"")</f>
        <v/>
      </c>
      <c r="AI50" s="43">
        <f>IFERROR(AB50/E50,"")</f>
        <v/>
      </c>
      <c r="AJ50" s="44">
        <f>IF(COUNTA(S50,AB50)=0,"",S50+AB50)</f>
        <v/>
      </c>
      <c r="AL50" s="15" t="inlineStr">
        <is>
          <t>OctoSheet.xlsx</t>
        </is>
      </c>
      <c r="AM50" s="15" t="inlineStr">
        <is>
          <t>Ref=CONNOR_A</t>
        </is>
      </c>
      <c r="AN50" s="15" t="inlineStr">
        <is>
          <t>REF_MERGE</t>
        </is>
      </c>
      <c r="AO50" s="35" t="inlineStr">
        <is>
          <t>//</t>
        </is>
      </c>
      <c r="AP50" s="35" t="inlineStr">
        <is>
          <t>Ref #2043241 created; Mapped REF_MERGE amount to ADJ</t>
        </is>
      </c>
    </row>
    <row r="51">
      <c r="A51" s="15" t="inlineStr">
        <is>
          <t>OCTOPUS</t>
        </is>
      </c>
      <c r="B51" s="16" t="n">
        <v>45945</v>
      </c>
      <c r="C51" s="16" t="n"/>
      <c r="D51" s="16" t="n">
        <v>45945</v>
      </c>
      <c r="E51" s="38" t="n"/>
      <c r="F51" s="39" t="n">
        <v>-3142.91</v>
      </c>
      <c r="G51" s="39" t="n"/>
      <c r="H51" s="39" t="n"/>
      <c r="I51" s="39" t="n">
        <v>92.40000000000001</v>
      </c>
      <c r="J51" s="40" t="n">
        <v>-3235.31</v>
      </c>
      <c r="L51" s="41" t="n">
        <v>64800</v>
      </c>
      <c r="M51" s="41" t="n"/>
      <c r="N51" s="41" t="n"/>
      <c r="O51" s="41" t="n"/>
      <c r="P51" s="21" t="n"/>
      <c r="Q51" s="39" t="n"/>
      <c r="R51" s="39" t="n"/>
      <c r="S51" s="39" t="n"/>
      <c r="T51" s="42" t="n"/>
      <c r="V51" s="41" t="n">
        <v>8650</v>
      </c>
      <c r="W51" s="41" t="n"/>
      <c r="X51" s="41" t="n"/>
      <c r="Y51" s="21" t="n"/>
      <c r="Z51" s="39" t="n"/>
      <c r="AA51" s="39" t="n"/>
      <c r="AB51" s="39" t="n"/>
      <c r="AC51" s="42" t="n"/>
      <c r="AE51" s="32">
        <f>IFERROR(O51/N51,"")</f>
        <v/>
      </c>
      <c r="AF51" s="32">
        <f>IFERROR(AE51*3.6/1.02264,"")</f>
        <v/>
      </c>
      <c r="AG51" s="33">
        <f>IF(COUNTA(A51:J51)=0,"",ROUND(F51+G51+H51+I51-J51,2))</f>
        <v/>
      </c>
      <c r="AH51" s="43">
        <f>IFERROR(S51/E51,"")</f>
        <v/>
      </c>
      <c r="AI51" s="43">
        <f>IFERROR(AB51/E51,"")</f>
        <v/>
      </c>
      <c r="AJ51" s="44">
        <f>IF(COUNTA(S51,AB51)=0,"",S51+AB51)</f>
        <v/>
      </c>
      <c r="AL51" s="15" t="inlineStr">
        <is>
          <t>OctoSheet.xlsx</t>
        </is>
      </c>
      <c r="AM51" s="15" t="inlineStr">
        <is>
          <t>Ref=OCT-102; SrcNote=2025-10-01</t>
        </is>
      </c>
      <c r="AN51" s="15" t="inlineStr">
        <is>
          <t>BILL</t>
        </is>
      </c>
      <c r="AO51" s="35" t="inlineStr">
        <is>
          <t>MATCH</t>
        </is>
      </c>
      <c r="AP51" s="35" t="n"/>
    </row>
    <row r="52">
      <c r="A52" s="15" t="inlineStr">
        <is>
          <t>OCTOPUS</t>
        </is>
      </c>
      <c r="B52" s="16" t="n">
        <v>45975</v>
      </c>
      <c r="C52" s="16" t="n"/>
      <c r="D52" s="16" t="n">
        <v>45975</v>
      </c>
      <c r="E52" s="38" t="n"/>
      <c r="F52" s="39" t="n">
        <v>-3235.31</v>
      </c>
      <c r="G52" s="39" t="n"/>
      <c r="H52" s="39" t="n"/>
      <c r="I52" s="39" t="n">
        <v>145.2</v>
      </c>
      <c r="J52" s="40" t="n">
        <v>-3380.51</v>
      </c>
      <c r="L52" s="41" t="n">
        <v>65200</v>
      </c>
      <c r="M52" s="41" t="n"/>
      <c r="N52" s="41" t="n"/>
      <c r="O52" s="41" t="n"/>
      <c r="P52" s="21" t="n"/>
      <c r="Q52" s="39" t="n"/>
      <c r="R52" s="39" t="n"/>
      <c r="S52" s="39" t="n"/>
      <c r="T52" s="42" t="n"/>
      <c r="V52" s="41" t="n">
        <v>8800</v>
      </c>
      <c r="W52" s="41" t="n"/>
      <c r="X52" s="41" t="n"/>
      <c r="Y52" s="21" t="n"/>
      <c r="Z52" s="39" t="n"/>
      <c r="AA52" s="39" t="n"/>
      <c r="AB52" s="39" t="n"/>
      <c r="AC52" s="42" t="n"/>
      <c r="AE52" s="32">
        <f>IFERROR(O52/N52,"")</f>
        <v/>
      </c>
      <c r="AF52" s="32">
        <f>IFERROR(AE52*3.6/1.02264,"")</f>
        <v/>
      </c>
      <c r="AG52" s="33">
        <f>IF(COUNTA(A52:J52)=0,"",ROUND(F52+G52+H52+I52-J52,2))</f>
        <v/>
      </c>
      <c r="AH52" s="43">
        <f>IFERROR(S52/E52,"")</f>
        <v/>
      </c>
      <c r="AI52" s="43">
        <f>IFERROR(AB52/E52,"")</f>
        <v/>
      </c>
      <c r="AJ52" s="44">
        <f>IF(COUNTA(S52,AB52)=0,"",S52+AB52)</f>
        <v/>
      </c>
      <c r="AL52" s="15" t="inlineStr">
        <is>
          <t>OctoSheet.xlsx</t>
        </is>
      </c>
      <c r="AM52" s="15" t="inlineStr">
        <is>
          <t>Ref=OCT-104; SrcNote=2025-11-01</t>
        </is>
      </c>
      <c r="AN52" s="15" t="inlineStr">
        <is>
          <t>BILL</t>
        </is>
      </c>
      <c r="AO52" s="35" t="inlineStr">
        <is>
          <t>MATCH</t>
        </is>
      </c>
      <c r="AP52" s="35" t="n"/>
    </row>
    <row r="53">
      <c r="A53" s="15" t="inlineStr">
        <is>
          <t>OCTOPUS</t>
        </is>
      </c>
      <c r="B53" s="16" t="n">
        <v>46006</v>
      </c>
      <c r="C53" s="16" t="n"/>
      <c r="D53" s="16" t="n">
        <v>46006</v>
      </c>
      <c r="E53" s="38" t="n"/>
      <c r="F53" s="39" t="n">
        <v>-3380.51</v>
      </c>
      <c r="G53" s="39" t="n"/>
      <c r="H53" s="39" t="n"/>
      <c r="I53" s="39" t="n">
        <v>210.5</v>
      </c>
      <c r="J53" s="40" t="n">
        <v>-3591.01</v>
      </c>
      <c r="L53" s="41" t="n">
        <v>65800</v>
      </c>
      <c r="M53" s="41" t="n"/>
      <c r="N53" s="41" t="n"/>
      <c r="O53" s="41" t="n"/>
      <c r="P53" s="21" t="n"/>
      <c r="Q53" s="39" t="n"/>
      <c r="R53" s="39" t="n"/>
      <c r="S53" s="39" t="n"/>
      <c r="T53" s="42" t="n"/>
      <c r="V53" s="41" t="n">
        <v>9000</v>
      </c>
      <c r="W53" s="41" t="n"/>
      <c r="X53" s="41" t="n"/>
      <c r="Y53" s="21" t="n"/>
      <c r="Z53" s="39" t="n"/>
      <c r="AA53" s="39" t="n"/>
      <c r="AB53" s="39" t="n"/>
      <c r="AC53" s="42" t="n"/>
      <c r="AE53" s="32">
        <f>IFERROR(O53/N53,"")</f>
        <v/>
      </c>
      <c r="AF53" s="32">
        <f>IFERROR(AE53*3.6/1.02264,"")</f>
        <v/>
      </c>
      <c r="AG53" s="33">
        <f>IF(COUNTA(A53:J53)=0,"",ROUND(F53+G53+H53+I53-J53,2))</f>
        <v/>
      </c>
      <c r="AH53" s="43">
        <f>IFERROR(S53/E53,"")</f>
        <v/>
      </c>
      <c r="AI53" s="43">
        <f>IFERROR(AB53/E53,"")</f>
        <v/>
      </c>
      <c r="AJ53" s="44">
        <f>IF(COUNTA(S53,AB53)=0,"",S53+AB53)</f>
        <v/>
      </c>
      <c r="AL53" s="15" t="inlineStr">
        <is>
          <t>OctoSheet.xlsx</t>
        </is>
      </c>
      <c r="AM53" s="15" t="inlineStr">
        <is>
          <t>Ref=OCT-106; SrcNote=2025-12-01</t>
        </is>
      </c>
      <c r="AN53" s="15" t="inlineStr">
        <is>
          <t>BILL</t>
        </is>
      </c>
      <c r="AO53" s="35" t="inlineStr">
        <is>
          <t>MATCH</t>
        </is>
      </c>
      <c r="AP53" s="35" t="n"/>
    </row>
    <row r="54">
      <c r="A54" s="15" t="inlineStr">
        <is>
          <t>OCTOPUS</t>
        </is>
      </c>
      <c r="B54" s="16" t="n">
        <v>46054</v>
      </c>
      <c r="C54" s="16" t="n"/>
      <c r="D54" s="16" t="n">
        <v>46054</v>
      </c>
      <c r="E54" s="38" t="n"/>
      <c r="F54" s="39" t="n">
        <v>-3591.01</v>
      </c>
      <c r="G54" s="39" t="n"/>
      <c r="H54" s="39" t="n">
        <v>245.3</v>
      </c>
      <c r="I54" s="39" t="n"/>
      <c r="J54" s="40" t="n">
        <v>-3836.31</v>
      </c>
      <c r="L54" s="41" t="n"/>
      <c r="M54" s="41" t="n"/>
      <c r="N54" s="41" t="n"/>
      <c r="O54" s="41" t="n"/>
      <c r="P54" s="21" t="n"/>
      <c r="Q54" s="39" t="n"/>
      <c r="R54" s="39" t="n"/>
      <c r="S54" s="39" t="n"/>
      <c r="T54" s="42" t="n"/>
      <c r="V54" s="41" t="n"/>
      <c r="W54" s="41" t="n"/>
      <c r="X54" s="41" t="n"/>
      <c r="Y54" s="21" t="n"/>
      <c r="Z54" s="39" t="n"/>
      <c r="AA54" s="39" t="n"/>
      <c r="AB54" s="39" t="n"/>
      <c r="AC54" s="42" t="n"/>
      <c r="AE54" s="32">
        <f>IFERROR(O54/N54,"")</f>
        <v/>
      </c>
      <c r="AF54" s="32">
        <f>IFERROR(AE54*3.6/1.02264,"")</f>
        <v/>
      </c>
      <c r="AG54" s="33">
        <f>IF(COUNTA(A54:J54)=0,"",ROUND(F54+G54+H54+I54-J54,2))</f>
        <v/>
      </c>
      <c r="AH54" s="43">
        <f>IFERROR(S54/E54,"")</f>
        <v/>
      </c>
      <c r="AI54" s="43">
        <f>IFERROR(AB54/E54,"")</f>
        <v/>
      </c>
      <c r="AJ54" s="44">
        <f>IF(COUNTA(S54,AB54)=0,"",S54+AB54)</f>
        <v/>
      </c>
      <c r="AL54" s="15" t="inlineStr">
        <is>
          <t>OctoSheet.xlsx</t>
        </is>
      </c>
      <c r="AM54" s="15" t="inlineStr">
        <is>
          <t>Ref=OCT-CORR</t>
        </is>
      </c>
      <c r="AN54" s="15" t="inlineStr">
        <is>
          <t>ADJUST</t>
        </is>
      </c>
      <c r="AO54" s="35" t="inlineStr">
        <is>
          <t>****</t>
        </is>
      </c>
      <c r="AP54" s="35" t="inlineStr">
        <is>
          <t>Jan Adjustment Spike; Mapped ADJUST amount to ADJ</t>
        </is>
      </c>
    </row>
    <row r="55">
      <c r="A55" s="15" t="inlineStr">
        <is>
          <t>OCTOPUS</t>
        </is>
      </c>
      <c r="B55" s="16" t="n">
        <v>46037</v>
      </c>
      <c r="C55" s="16" t="n"/>
      <c r="D55" s="16" t="n">
        <v>46037</v>
      </c>
      <c r="E55" s="38" t="n"/>
      <c r="F55" s="39" t="n">
        <v>-3836.31</v>
      </c>
      <c r="G55" s="39" t="n"/>
      <c r="H55" s="39" t="n"/>
      <c r="I55" s="39" t="n">
        <v>185.3</v>
      </c>
      <c r="J55" s="40" t="n">
        <v>-4021.61</v>
      </c>
      <c r="L55" s="41" t="n">
        <v>66400</v>
      </c>
      <c r="M55" s="41" t="n"/>
      <c r="N55" s="41" t="n"/>
      <c r="O55" s="41" t="n"/>
      <c r="P55" s="21" t="n"/>
      <c r="Q55" s="39" t="n"/>
      <c r="R55" s="39" t="n"/>
      <c r="S55" s="39" t="n"/>
      <c r="T55" s="42" t="n"/>
      <c r="V55" s="41" t="n">
        <v>9200</v>
      </c>
      <c r="W55" s="41" t="n"/>
      <c r="X55" s="41" t="n"/>
      <c r="Y55" s="21" t="n"/>
      <c r="Z55" s="39" t="n"/>
      <c r="AA55" s="39" t="n"/>
      <c r="AB55" s="39" t="n"/>
      <c r="AC55" s="42" t="n"/>
      <c r="AE55" s="32">
        <f>IFERROR(O55/N55,"")</f>
        <v/>
      </c>
      <c r="AF55" s="32">
        <f>IFERROR(AE55*3.6/1.02264,"")</f>
        <v/>
      </c>
      <c r="AG55" s="33">
        <f>IF(COUNTA(A55:J55)=0,"",ROUND(F55+G55+H55+I55-J55,2))</f>
        <v/>
      </c>
      <c r="AH55" s="43">
        <f>IFERROR(S55/E55,"")</f>
        <v/>
      </c>
      <c r="AI55" s="43">
        <f>IFERROR(AB55/E55,"")</f>
        <v/>
      </c>
      <c r="AJ55" s="44">
        <f>IF(COUNTA(S55,AB55)=0,"",S55+AB55)</f>
        <v/>
      </c>
      <c r="AL55" s="15" t="inlineStr">
        <is>
          <t>OctoSheet.xlsx</t>
        </is>
      </c>
      <c r="AM55" s="15" t="inlineStr">
        <is>
          <t>Ref=OCT-108; SrcNote=Jan 2026 Est</t>
        </is>
      </c>
      <c r="AN55" s="15" t="inlineStr">
        <is>
          <t>BILL</t>
        </is>
      </c>
      <c r="AO55" s="35" t="inlineStr">
        <is>
          <t>//</t>
        </is>
      </c>
      <c r="AP55" s="35" t="n"/>
    </row>
    <row r="56">
      <c r="A56" s="15" t="inlineStr">
        <is>
          <t>OCTOPUS</t>
        </is>
      </c>
      <c r="B56" s="16" t="n">
        <v>46050</v>
      </c>
      <c r="C56" s="16" t="n"/>
      <c r="D56" s="16" t="n">
        <v>46050</v>
      </c>
      <c r="E56" s="38" t="n"/>
      <c r="F56" s="39" t="n">
        <v>-4021.61</v>
      </c>
      <c r="G56" s="39" t="n"/>
      <c r="H56" s="39" t="n">
        <v>0</v>
      </c>
      <c r="I56" s="39" t="n"/>
      <c r="J56" s="40" t="n">
        <v>-4021.61</v>
      </c>
      <c r="L56" s="41" t="n"/>
      <c r="M56" s="41" t="n"/>
      <c r="N56" s="41" t="n"/>
      <c r="O56" s="41" t="n"/>
      <c r="P56" s="21" t="n"/>
      <c r="Q56" s="39" t="n"/>
      <c r="R56" s="39" t="n"/>
      <c r="S56" s="39" t="n"/>
      <c r="T56" s="42" t="n"/>
      <c r="V56" s="41" t="n"/>
      <c r="W56" s="41" t="n"/>
      <c r="X56" s="41" t="n"/>
      <c r="Y56" s="21" t="n"/>
      <c r="Z56" s="39" t="n"/>
      <c r="AA56" s="39" t="n"/>
      <c r="AB56" s="39" t="n"/>
      <c r="AC56" s="42" t="n"/>
      <c r="AE56" s="32">
        <f>IFERROR(O56/N56,"")</f>
        <v/>
      </c>
      <c r="AF56" s="32">
        <f>IFERROR(AE56*3.6/1.02264,"")</f>
        <v/>
      </c>
      <c r="AG56" s="33">
        <f>IF(COUNTA(A56:J56)=0,"",ROUND(F56+G56+H56+I56-J56,2))</f>
        <v/>
      </c>
      <c r="AH56" s="43">
        <f>IFERROR(S56/E56,"")</f>
        <v/>
      </c>
      <c r="AI56" s="43">
        <f>IFERROR(AB56/E56,"")</f>
        <v/>
      </c>
      <c r="AJ56" s="44">
        <f>IF(COUNTA(S56,AB56)=0,"",S56+AB56)</f>
        <v/>
      </c>
      <c r="AL56" s="15" t="inlineStr">
        <is>
          <t>OctoSheet.xlsx</t>
        </is>
      </c>
      <c r="AM56" s="15" t="inlineStr">
        <is>
          <t>Ref=EMAIL</t>
        </is>
      </c>
      <c r="AN56" s="15" t="inlineStr">
        <is>
          <t>DISPUTE</t>
        </is>
      </c>
      <c r="AO56" s="35" t="inlineStr">
        <is>
          <t>LOG</t>
        </is>
      </c>
      <c r="AP56" s="35" t="inlineStr">
        <is>
          <t>Octo.2026.3.1 Raised; Mapped DISPUTE amount to ADJ</t>
        </is>
      </c>
    </row>
    <row r="57">
      <c r="A57" s="15" t="inlineStr">
        <is>
          <t>OCTOPUS</t>
        </is>
      </c>
      <c r="B57" s="16" t="n">
        <v>46067</v>
      </c>
      <c r="C57" s="16" t="n"/>
      <c r="D57" s="16" t="n">
        <v>46067</v>
      </c>
      <c r="E57" s="38" t="n"/>
      <c r="F57" s="39" t="n">
        <v>-4021.61</v>
      </c>
      <c r="G57" s="39" t="n"/>
      <c r="H57" s="39" t="n"/>
      <c r="I57" s="39" t="n">
        <v>192.4</v>
      </c>
      <c r="J57" s="40" t="n">
        <v>-4214.01</v>
      </c>
      <c r="L57" s="41" t="n">
        <v>67100</v>
      </c>
      <c r="M57" s="41" t="n"/>
      <c r="N57" s="41" t="n"/>
      <c r="O57" s="41" t="n"/>
      <c r="P57" s="21" t="n"/>
      <c r="Q57" s="39" t="n"/>
      <c r="R57" s="39" t="n"/>
      <c r="S57" s="39" t="n"/>
      <c r="T57" s="42" t="n"/>
      <c r="V57" s="41" t="n">
        <v>9350</v>
      </c>
      <c r="W57" s="41" t="n"/>
      <c r="X57" s="41" t="n"/>
      <c r="Y57" s="21" t="n"/>
      <c r="Z57" s="39" t="n"/>
      <c r="AA57" s="39" t="n"/>
      <c r="AB57" s="39" t="n"/>
      <c r="AC57" s="42" t="n"/>
      <c r="AE57" s="32">
        <f>IFERROR(O57/N57,"")</f>
        <v/>
      </c>
      <c r="AF57" s="32">
        <f>IFERROR(AE57*3.6/1.02264,"")</f>
        <v/>
      </c>
      <c r="AG57" s="33">
        <f>IF(COUNTA(A57:J57)=0,"",ROUND(F57+G57+H57+I57-J57,2))</f>
        <v/>
      </c>
      <c r="AH57" s="43">
        <f>IFERROR(S57/E57,"")</f>
        <v/>
      </c>
      <c r="AI57" s="43">
        <f>IFERROR(AB57/E57,"")</f>
        <v/>
      </c>
      <c r="AJ57" s="44">
        <f>IF(COUNTA(S57,AB57)=0,"",S57+AB57)</f>
        <v/>
      </c>
      <c r="AL57" s="15" t="inlineStr">
        <is>
          <t>OctoSheet.xlsx</t>
        </is>
      </c>
      <c r="AM57" s="15" t="inlineStr">
        <is>
          <t>Ref=OCT-110; SrcNote=2026-02-01</t>
        </is>
      </c>
      <c r="AN57" s="15" t="inlineStr">
        <is>
          <t>BILL</t>
        </is>
      </c>
      <c r="AO57" s="35" t="inlineStr">
        <is>
          <t>MATCH</t>
        </is>
      </c>
      <c r="AP57" s="35" t="n"/>
    </row>
    <row r="58">
      <c r="A58" s="15" t="inlineStr">
        <is>
          <t>OCTOPUS</t>
        </is>
      </c>
      <c r="B58" s="16" t="n">
        <v>46079</v>
      </c>
      <c r="C58" s="16" t="n"/>
      <c r="D58" s="16" t="n">
        <v>46079</v>
      </c>
      <c r="E58" s="38" t="n"/>
      <c r="F58" s="39" t="n">
        <v>-4214.01</v>
      </c>
      <c r="G58" s="39" t="n"/>
      <c r="H58" s="39" t="n">
        <v>0</v>
      </c>
      <c r="I58" s="39" t="n"/>
      <c r="J58" s="40" t="n">
        <v>-4214.01</v>
      </c>
      <c r="L58" s="41" t="n"/>
      <c r="M58" s="41" t="n"/>
      <c r="N58" s="41" t="n"/>
      <c r="O58" s="41" t="n"/>
      <c r="P58" s="21" t="n"/>
      <c r="Q58" s="39" t="n"/>
      <c r="R58" s="39" t="n"/>
      <c r="S58" s="39" t="n"/>
      <c r="T58" s="42" t="n"/>
      <c r="V58" s="41" t="n"/>
      <c r="W58" s="41" t="n"/>
      <c r="X58" s="41" t="n"/>
      <c r="Y58" s="21" t="n"/>
      <c r="Z58" s="39" t="n"/>
      <c r="AA58" s="39" t="n"/>
      <c r="AB58" s="39" t="n"/>
      <c r="AC58" s="42" t="n"/>
      <c r="AE58" s="32">
        <f>IFERROR(O58/N58,"")</f>
        <v/>
      </c>
      <c r="AF58" s="32">
        <f>IFERROR(AE58*3.6/1.02264,"")</f>
        <v/>
      </c>
      <c r="AG58" s="33">
        <f>IF(COUNTA(A58:J58)=0,"",ROUND(F58+G58+H58+I58-J58,2))</f>
        <v/>
      </c>
      <c r="AH58" s="43">
        <f>IFERROR(S58/E58,"")</f>
        <v/>
      </c>
      <c r="AI58" s="43">
        <f>IFERROR(AB58/E58,"")</f>
        <v/>
      </c>
      <c r="AJ58" s="44">
        <f>IF(COUNTA(S58,AB58)=0,"",S58+AB58)</f>
        <v/>
      </c>
      <c r="AL58" s="15" t="inlineStr">
        <is>
          <t>OctoSheet.xlsx</t>
        </is>
      </c>
      <c r="AM58" s="15" t="inlineStr">
        <is>
          <t>Ref=EMAIL</t>
        </is>
      </c>
      <c r="AN58" s="15" t="inlineStr">
        <is>
          <t>NOTICE</t>
        </is>
      </c>
      <c r="AO58" s="35" t="inlineStr">
        <is>
          <t>LOG</t>
        </is>
      </c>
      <c r="AP58" s="35" t="inlineStr">
        <is>
          <t>Formal Â£200 Cap Sent; Mapped NOTICE amount to ADJ</t>
        </is>
      </c>
    </row>
    <row r="59">
      <c r="A59" s="15" t="inlineStr">
        <is>
          <t>OCTOPUS</t>
        </is>
      </c>
      <c r="B59" s="16" t="n">
        <v>46080</v>
      </c>
      <c r="C59" s="16" t="n"/>
      <c r="D59" s="16" t="n">
        <v>46080</v>
      </c>
      <c r="E59" s="38" t="n"/>
      <c r="F59" s="39" t="n">
        <v>-4214.01</v>
      </c>
      <c r="G59" s="39" t="n"/>
      <c r="H59" s="39" t="n">
        <v>200</v>
      </c>
      <c r="I59" s="39" t="n"/>
      <c r="J59" s="40" t="n"/>
      <c r="L59" s="41" t="n"/>
      <c r="M59" s="41" t="n"/>
      <c r="N59" s="41" t="n"/>
      <c r="O59" s="41" t="n"/>
      <c r="P59" s="21" t="n"/>
      <c r="Q59" s="39" t="n"/>
      <c r="R59" s="39" t="n"/>
      <c r="S59" s="39" t="n"/>
      <c r="T59" s="42" t="n"/>
      <c r="V59" s="41" t="n"/>
      <c r="W59" s="41" t="n"/>
      <c r="X59" s="41" t="n"/>
      <c r="Y59" s="21" t="n"/>
      <c r="Z59" s="39" t="n"/>
      <c r="AA59" s="39" t="n"/>
      <c r="AB59" s="39" t="n"/>
      <c r="AC59" s="42" t="n"/>
      <c r="AE59" s="32">
        <f>IFERROR(O59/N59,"")</f>
        <v/>
      </c>
      <c r="AF59" s="32">
        <f>IFERROR(AE59*3.6/1.02264,"")</f>
        <v/>
      </c>
      <c r="AG59" s="33">
        <f>IF(COUNTA(A59:J59)=0,"",ROUND(F59+G59+H59+I59-J59,2))</f>
        <v/>
      </c>
      <c r="AH59" s="43">
        <f>IFERROR(S59/E59,"")</f>
        <v/>
      </c>
      <c r="AI59" s="43">
        <f>IFERROR(AB59/E59,"")</f>
        <v/>
      </c>
      <c r="AJ59" s="44">
        <f>IF(COUNTA(S59,AB59)=0,"",S59+AB59)</f>
        <v/>
      </c>
      <c r="AL59" s="15" t="inlineStr">
        <is>
          <t>OctoSheet.xlsx</t>
        </is>
      </c>
      <c r="AM59" s="15" t="inlineStr">
        <is>
          <t>Ref=NOTICE</t>
        </is>
      </c>
      <c r="AN59" s="15" t="inlineStr">
        <is>
          <t>CAP</t>
        </is>
      </c>
      <c r="AO59" s="35" t="inlineStr">
        <is>
          <t>MANDATE</t>
        </is>
      </c>
      <c r="AP59" s="35" t="inlineStr">
        <is>
          <t>System cap applied; Mapped CAP amount to ADJ</t>
        </is>
      </c>
    </row>
    <row r="60">
      <c r="A60" s="15" t="inlineStr">
        <is>
          <t>OCTOPUS</t>
        </is>
      </c>
      <c r="B60" s="16" t="n">
        <v>46025</v>
      </c>
      <c r="C60" s="16" t="n"/>
      <c r="D60" s="16" t="n">
        <v>46025</v>
      </c>
      <c r="E60" s="38" t="n"/>
      <c r="F60" s="39" t="n">
        <v>-4214.01</v>
      </c>
      <c r="G60" s="39" t="n"/>
      <c r="H60" s="39" t="n"/>
      <c r="I60" s="39" t="n">
        <v>120.5</v>
      </c>
      <c r="J60" s="40" t="n">
        <v>-4334.51</v>
      </c>
      <c r="L60" s="41" t="n">
        <v>67600</v>
      </c>
      <c r="M60" s="41" t="n"/>
      <c r="N60" s="41" t="n"/>
      <c r="O60" s="41" t="n"/>
      <c r="P60" s="21" t="n"/>
      <c r="Q60" s="39" t="n"/>
      <c r="R60" s="39" t="n"/>
      <c r="S60" s="39" t="n"/>
      <c r="T60" s="42" t="n"/>
      <c r="V60" s="41" t="n">
        <v>9450</v>
      </c>
      <c r="W60" s="41" t="n"/>
      <c r="X60" s="41" t="n"/>
      <c r="Y60" s="21" t="n"/>
      <c r="Z60" s="39" t="n"/>
      <c r="AA60" s="39" t="n"/>
      <c r="AB60" s="39" t="n"/>
      <c r="AC60" s="42" t="n"/>
      <c r="AE60" s="32">
        <f>IFERROR(O60/N60,"")</f>
        <v/>
      </c>
      <c r="AF60" s="32">
        <f>IFERROR(AE60*3.6/1.02264,"")</f>
        <v/>
      </c>
      <c r="AG60" s="33">
        <f>IF(COUNTA(A60:J60)=0,"",ROUND(F60+G60+H60+I60-J60,2))</f>
        <v/>
      </c>
      <c r="AH60" s="43">
        <f>IFERROR(S60/E60,"")</f>
        <v/>
      </c>
      <c r="AI60" s="43">
        <f>IFERROR(AB60/E60,"")</f>
        <v/>
      </c>
      <c r="AJ60" s="44">
        <f>IF(COUNTA(S60,AB60)=0,"",S60+AB60)</f>
        <v/>
      </c>
      <c r="AL60" s="15" t="inlineStr">
        <is>
          <t>OctoSheet.xlsx</t>
        </is>
      </c>
      <c r="AM60" s="15" t="inlineStr">
        <is>
          <t>Ref=OCT-112; SrcNote=2026-03-01</t>
        </is>
      </c>
      <c r="AN60" s="15" t="inlineStr">
        <is>
          <t>BILL</t>
        </is>
      </c>
      <c r="AO60" s="35" t="inlineStr">
        <is>
          <t>MATCH</t>
        </is>
      </c>
      <c r="AP60" s="35" t="n"/>
    </row>
    <row r="61">
      <c r="A61" s="15" t="inlineStr">
        <is>
          <t>OCTOPUS</t>
        </is>
      </c>
      <c r="B61" s="16" t="n">
        <v>46145</v>
      </c>
      <c r="C61" s="16" t="n"/>
      <c r="D61" s="16" t="n">
        <v>46145</v>
      </c>
      <c r="E61" s="38" t="n"/>
      <c r="F61" s="39" t="n">
        <v>-4334.51</v>
      </c>
      <c r="G61" s="39" t="n"/>
      <c r="H61" s="39" t="n">
        <v>0</v>
      </c>
      <c r="I61" s="39" t="n"/>
      <c r="J61" s="40" t="n">
        <v>-4334.51</v>
      </c>
      <c r="L61" s="41" t="n"/>
      <c r="M61" s="41" t="n"/>
      <c r="N61" s="41" t="n"/>
      <c r="O61" s="41" t="n"/>
      <c r="P61" s="21" t="n"/>
      <c r="Q61" s="39" t="n"/>
      <c r="R61" s="39" t="n"/>
      <c r="S61" s="39" t="n"/>
      <c r="T61" s="42" t="n"/>
      <c r="V61" s="41" t="n"/>
      <c r="W61" s="41" t="n"/>
      <c r="X61" s="41" t="n"/>
      <c r="Y61" s="21" t="n"/>
      <c r="Z61" s="39" t="n"/>
      <c r="AA61" s="39" t="n"/>
      <c r="AB61" s="39" t="n"/>
      <c r="AC61" s="42" t="n"/>
      <c r="AE61" s="32">
        <f>IFERROR(O61/N61,"")</f>
        <v/>
      </c>
      <c r="AF61" s="32">
        <f>IFERROR(AE61*3.6/1.02264,"")</f>
        <v/>
      </c>
      <c r="AG61" s="33">
        <f>IF(COUNTA(A61:J61)=0,"",ROUND(F61+G61+H61+I61-J61,2))</f>
        <v/>
      </c>
      <c r="AH61" s="43">
        <f>IFERROR(S61/E61,"")</f>
        <v/>
      </c>
      <c r="AI61" s="43">
        <f>IFERROR(AB61/E61,"")</f>
        <v/>
      </c>
      <c r="AJ61" s="44">
        <f>IF(COUNTA(S61,AB61)=0,"",S61+AB61)</f>
        <v/>
      </c>
      <c r="AL61" s="15" t="inlineStr">
        <is>
          <t>OctoSheet.xlsx</t>
        </is>
      </c>
      <c r="AM61" s="15" t="inlineStr">
        <is>
          <t>Ref=EMAIL</t>
        </is>
      </c>
      <c r="AN61" s="15" t="inlineStr">
        <is>
          <t>REJECT</t>
        </is>
      </c>
      <c r="AO61" s="35" t="inlineStr">
        <is>
          <t>LOG</t>
        </is>
      </c>
      <c r="AP61" s="35" t="inlineStr">
        <is>
          <t>Octo.2026.3.2 Rejected; Mapped REJECT amount to ADJ</t>
        </is>
      </c>
    </row>
    <row r="62">
      <c r="A62" s="15" t="inlineStr">
        <is>
          <t>OCTOPUS</t>
        </is>
      </c>
      <c r="B62" s="16" t="n">
        <v>46298</v>
      </c>
      <c r="C62" s="16" t="n"/>
      <c r="D62" s="16" t="n">
        <v>46298</v>
      </c>
      <c r="E62" s="38" t="n"/>
      <c r="F62" s="39" t="n">
        <v>-4334.51</v>
      </c>
      <c r="G62" s="39" t="n"/>
      <c r="H62" s="39" t="n">
        <v>0</v>
      </c>
      <c r="I62" s="39" t="n"/>
      <c r="J62" s="40" t="n">
        <v>-4334.51</v>
      </c>
      <c r="L62" s="41" t="n"/>
      <c r="M62" s="41" t="n"/>
      <c r="N62" s="41" t="n"/>
      <c r="O62" s="41" t="n"/>
      <c r="P62" s="21" t="n"/>
      <c r="Q62" s="39" t="n"/>
      <c r="R62" s="39" t="n"/>
      <c r="S62" s="39" t="n"/>
      <c r="T62" s="42" t="n"/>
      <c r="V62" s="41" t="n"/>
      <c r="W62" s="41" t="n"/>
      <c r="X62" s="41" t="n"/>
      <c r="Y62" s="21" t="n"/>
      <c r="Z62" s="39" t="n"/>
      <c r="AA62" s="39" t="n"/>
      <c r="AB62" s="39" t="n"/>
      <c r="AC62" s="42" t="n"/>
      <c r="AE62" s="32">
        <f>IFERROR(O62/N62,"")</f>
        <v/>
      </c>
      <c r="AF62" s="32">
        <f>IFERROR(AE62*3.6/1.02264,"")</f>
        <v/>
      </c>
      <c r="AG62" s="33">
        <f>IF(COUNTA(A62:J62)=0,"",ROUND(F62+G62+H62+I62-J62,2))</f>
        <v/>
      </c>
      <c r="AH62" s="43">
        <f>IFERROR(S62/E62,"")</f>
        <v/>
      </c>
      <c r="AI62" s="43">
        <f>IFERROR(AB62/E62,"")</f>
        <v/>
      </c>
      <c r="AJ62" s="44">
        <f>IF(COUNTA(S62,AB62)=0,"",S62+AB62)</f>
        <v/>
      </c>
      <c r="AL62" s="15" t="inlineStr">
        <is>
          <t>OctoSheet.xlsx</t>
        </is>
      </c>
      <c r="AM62" s="15" t="inlineStr">
        <is>
          <t>Ref=EMAIL</t>
        </is>
      </c>
      <c r="AN62" s="15" t="inlineStr">
        <is>
          <t>WARN</t>
        </is>
      </c>
      <c r="AO62" s="35" t="inlineStr">
        <is>
          <t>LOG</t>
        </is>
      </c>
      <c r="AP62" s="35" t="inlineStr">
        <is>
          <t>Debt collection warning; Mapped WARN amount to ADJ</t>
        </is>
      </c>
    </row>
    <row r="63">
      <c r="A63" s="15" t="inlineStr">
        <is>
          <t>OCTOPUS</t>
        </is>
      </c>
      <c r="B63" s="16" t="n">
        <v>46359</v>
      </c>
      <c r="C63" s="16" t="n"/>
      <c r="D63" s="16" t="n">
        <v>46359</v>
      </c>
      <c r="E63" s="38" t="n"/>
      <c r="F63" s="39" t="n">
        <v>-4334.51</v>
      </c>
      <c r="G63" s="39" t="n"/>
      <c r="H63" s="39" t="n">
        <v>300</v>
      </c>
      <c r="I63" s="39" t="n"/>
      <c r="J63" s="40" t="n">
        <v>-4034.51</v>
      </c>
      <c r="L63" s="41" t="n"/>
      <c r="M63" s="41" t="n"/>
      <c r="N63" s="41" t="n"/>
      <c r="O63" s="41" t="n"/>
      <c r="P63" s="21" t="n"/>
      <c r="Q63" s="39" t="n"/>
      <c r="R63" s="39" t="n"/>
      <c r="S63" s="39" t="n"/>
      <c r="T63" s="42" t="n"/>
      <c r="V63" s="41" t="n"/>
      <c r="W63" s="41" t="n"/>
      <c r="X63" s="41" t="n"/>
      <c r="Y63" s="21" t="n"/>
      <c r="Z63" s="39" t="n"/>
      <c r="AA63" s="39" t="n"/>
      <c r="AB63" s="39" t="n"/>
      <c r="AC63" s="42" t="n"/>
      <c r="AE63" s="32">
        <f>IFERROR(O63/N63,"")</f>
        <v/>
      </c>
      <c r="AF63" s="32">
        <f>IFERROR(AE63*3.6/1.02264,"")</f>
        <v/>
      </c>
      <c r="AG63" s="33">
        <f>IF(COUNTA(A63:J63)=0,"",ROUND(F63+G63+H63+I63-J63,2))</f>
        <v/>
      </c>
      <c r="AH63" s="43">
        <f>IFERROR(S63/E63,"")</f>
        <v/>
      </c>
      <c r="AI63" s="43">
        <f>IFERROR(AB63/E63,"")</f>
        <v/>
      </c>
      <c r="AJ63" s="44">
        <f>IF(COUNTA(S63,AB63)=0,"",S63+AB63)</f>
        <v/>
      </c>
      <c r="AL63" s="15" t="inlineStr">
        <is>
          <t>OctoSheet.xlsx</t>
        </is>
      </c>
      <c r="AM63" s="15" t="inlineStr">
        <is>
          <t>Ref=BANK</t>
        </is>
      </c>
      <c r="AN63" s="15" t="inlineStr">
        <is>
          <t>BREACH</t>
        </is>
      </c>
      <c r="AO63" s="35" t="inlineStr">
        <is>
          <t>****</t>
        </is>
      </c>
      <c r="AP63" s="35" t="inlineStr">
        <is>
          <t>UNAUTH Â£300 TAKEN; Mapped BREACH amount to ADJ</t>
        </is>
      </c>
    </row>
    <row r="64">
      <c r="A64" s="15" t="inlineStr">
        <is>
          <t>OCTOPUS</t>
        </is>
      </c>
      <c r="B64" s="16" t="n">
        <v>46094</v>
      </c>
      <c r="C64" s="16" t="n"/>
      <c r="D64" s="16" t="n">
        <v>46094</v>
      </c>
      <c r="E64" s="38" t="n"/>
      <c r="F64" s="39" t="n">
        <v>-4034.51</v>
      </c>
      <c r="G64" s="39" t="n">
        <v>-300</v>
      </c>
      <c r="H64" s="39" t="n"/>
      <c r="I64" s="39" t="n"/>
      <c r="J64" s="40" t="n">
        <v>-4334.51</v>
      </c>
      <c r="L64" s="41" t="n"/>
      <c r="M64" s="41" t="n"/>
      <c r="N64" s="41" t="n"/>
      <c r="O64" s="41" t="n"/>
      <c r="P64" s="21" t="n"/>
      <c r="Q64" s="39" t="n"/>
      <c r="R64" s="39" t="n"/>
      <c r="S64" s="39" t="n"/>
      <c r="T64" s="42" t="n"/>
      <c r="V64" s="41" t="n"/>
      <c r="W64" s="41" t="n"/>
      <c r="X64" s="41" t="n"/>
      <c r="Y64" s="21" t="n"/>
      <c r="Z64" s="39" t="n"/>
      <c r="AA64" s="39" t="n"/>
      <c r="AB64" s="39" t="n"/>
      <c r="AC64" s="42" t="n"/>
      <c r="AE64" s="32">
        <f>IFERROR(O64/N64,"")</f>
        <v/>
      </c>
      <c r="AF64" s="32">
        <f>IFERROR(AE64*3.6/1.02264,"")</f>
        <v/>
      </c>
      <c r="AG64" s="33">
        <f>IF(COUNTA(A64:J64)=0,"",ROUND(F64+G64+H64+I64-J64,2))</f>
        <v/>
      </c>
      <c r="AH64" s="43">
        <f>IFERROR(S64/E64,"")</f>
        <v/>
      </c>
      <c r="AI64" s="43">
        <f>IFERROR(AB64/E64,"")</f>
        <v/>
      </c>
      <c r="AJ64" s="44">
        <f>IF(COUNTA(S64,AB64)=0,"",S64+AB64)</f>
        <v/>
      </c>
      <c r="AL64" s="15" t="inlineStr">
        <is>
          <t>OctoSheet.xlsx</t>
        </is>
      </c>
      <c r="AM64" s="15" t="inlineStr">
        <is>
          <t>Ref=BANK</t>
        </is>
      </c>
      <c r="AN64" s="15" t="inlineStr">
        <is>
          <t>REVERSE</t>
        </is>
      </c>
      <c r="AO64" s="35" t="inlineStr">
        <is>
          <t>LOG</t>
        </is>
      </c>
      <c r="AP64" s="35" t="inlineStr">
        <is>
          <t>Indemnity Claim Success; Mapped REVERSE amount to PAY</t>
        </is>
      </c>
    </row>
    <row r="65">
      <c r="A65" s="15" t="inlineStr">
        <is>
          <t>OCTOPUS</t>
        </is>
      </c>
      <c r="B65" s="16" t="n">
        <v>46096</v>
      </c>
      <c r="C65" s="16" t="n"/>
      <c r="D65" s="16" t="n">
        <v>46096</v>
      </c>
      <c r="E65" s="38" t="n"/>
      <c r="F65" s="39" t="n">
        <v>-4334.51</v>
      </c>
      <c r="G65" s="39" t="n"/>
      <c r="H65" s="39" t="n">
        <v>0</v>
      </c>
      <c r="I65" s="39" t="n"/>
      <c r="J65" s="40" t="n">
        <v>-4334.51</v>
      </c>
      <c r="L65" s="41" t="n"/>
      <c r="M65" s="41" t="n"/>
      <c r="N65" s="41" t="n"/>
      <c r="O65" s="41" t="n"/>
      <c r="P65" s="21" t="n"/>
      <c r="Q65" s="39" t="n"/>
      <c r="R65" s="39" t="n"/>
      <c r="S65" s="39" t="n"/>
      <c r="T65" s="42" t="n"/>
      <c r="V65" s="41" t="n"/>
      <c r="W65" s="41" t="n"/>
      <c r="X65" s="41" t="n"/>
      <c r="Y65" s="21" t="n"/>
      <c r="Z65" s="39" t="n"/>
      <c r="AA65" s="39" t="n"/>
      <c r="AB65" s="39" t="n"/>
      <c r="AC65" s="42" t="n"/>
      <c r="AE65" s="32">
        <f>IFERROR(O65/N65,"")</f>
        <v/>
      </c>
      <c r="AF65" s="32">
        <f>IFERROR(AE65*3.6/1.02264,"")</f>
        <v/>
      </c>
      <c r="AG65" s="33">
        <f>IF(COUNTA(A65:J65)=0,"",ROUND(F65+G65+H65+I65-J65,2))</f>
        <v/>
      </c>
      <c r="AH65" s="43">
        <f>IFERROR(S65/E65,"")</f>
        <v/>
      </c>
      <c r="AI65" s="43">
        <f>IFERROR(AB65/E65,"")</f>
        <v/>
      </c>
      <c r="AJ65" s="44">
        <f>IF(COUNTA(S65,AB65)=0,"",S65+AB65)</f>
        <v/>
      </c>
      <c r="AL65" s="15" t="inlineStr">
        <is>
          <t>OctoSheet.xlsx</t>
        </is>
      </c>
      <c r="AM65" s="15" t="inlineStr">
        <is>
          <t>Ref=EMAIL</t>
        </is>
      </c>
      <c r="AN65" s="15" t="inlineStr">
        <is>
          <t>COMPL</t>
        </is>
      </c>
      <c r="AO65" s="35" t="inlineStr">
        <is>
          <t>LOG</t>
        </is>
      </c>
      <c r="AP65" s="35" t="inlineStr">
        <is>
          <t>Octo.2026.3.3 Raised; Mapped COMPL amount to ADJ</t>
        </is>
      </c>
    </row>
    <row r="66">
      <c r="A66" s="15" t="inlineStr">
        <is>
          <t>OCTOPUS</t>
        </is>
      </c>
      <c r="B66" s="16" t="n">
        <v>46099</v>
      </c>
      <c r="C66" s="16" t="n"/>
      <c r="D66" s="16" t="n">
        <v>46099</v>
      </c>
      <c r="E66" s="38" t="n"/>
      <c r="F66" s="39" t="n">
        <v>-4334.51</v>
      </c>
      <c r="G66" s="39" t="n"/>
      <c r="H66" s="39" t="n">
        <v>0</v>
      </c>
      <c r="I66" s="39" t="n"/>
      <c r="J66" s="40" t="n">
        <v>-4334.51</v>
      </c>
      <c r="L66" s="41" t="n"/>
      <c r="M66" s="41" t="n"/>
      <c r="N66" s="41" t="n"/>
      <c r="O66" s="41" t="n"/>
      <c r="P66" s="21" t="n"/>
      <c r="Q66" s="39" t="n"/>
      <c r="R66" s="39" t="n"/>
      <c r="S66" s="39" t="n"/>
      <c r="T66" s="42" t="n"/>
      <c r="V66" s="41" t="n"/>
      <c r="W66" s="41" t="n"/>
      <c r="X66" s="41" t="n"/>
      <c r="Y66" s="21" t="n"/>
      <c r="Z66" s="39" t="n"/>
      <c r="AA66" s="39" t="n"/>
      <c r="AB66" s="39" t="n"/>
      <c r="AC66" s="42" t="n"/>
      <c r="AE66" s="32">
        <f>IFERROR(O66/N66,"")</f>
        <v/>
      </c>
      <c r="AF66" s="32">
        <f>IFERROR(AE66*3.6/1.02264,"")</f>
        <v/>
      </c>
      <c r="AG66" s="33">
        <f>IF(COUNTA(A66:J66)=0,"",ROUND(F66+G66+H66+I66-J66,2))</f>
        <v/>
      </c>
      <c r="AH66" s="43">
        <f>IFERROR(S66/E66,"")</f>
        <v/>
      </c>
      <c r="AI66" s="43">
        <f>IFERROR(AB66/E66,"")</f>
        <v/>
      </c>
      <c r="AJ66" s="44">
        <f>IF(COUNTA(S66,AB66)=0,"",S66+AB66)</f>
        <v/>
      </c>
      <c r="AL66" s="15" t="inlineStr">
        <is>
          <t>OctoSheet.xlsx</t>
        </is>
      </c>
      <c r="AM66" s="15" t="inlineStr">
        <is>
          <t>Ref=EMAIL</t>
        </is>
      </c>
      <c r="AN66" s="15" t="inlineStr">
        <is>
          <t>CONNOR</t>
        </is>
      </c>
      <c r="AO66" s="35" t="inlineStr">
        <is>
          <t>LOG</t>
        </is>
      </c>
      <c r="AP66" s="35" t="inlineStr">
        <is>
          <t>Ref #2043241 Assigned; Mapped CONNOR amount to ADJ</t>
        </is>
      </c>
    </row>
    <row r="67">
      <c r="A67" s="15" t="inlineStr">
        <is>
          <t>OCTOPUS</t>
        </is>
      </c>
      <c r="B67" s="16" t="n">
        <v>46100</v>
      </c>
      <c r="C67" s="16" t="n"/>
      <c r="D67" s="16" t="n">
        <v>46100</v>
      </c>
      <c r="E67" s="38" t="n"/>
      <c r="F67" s="39" t="n">
        <v>-4334.51</v>
      </c>
      <c r="G67" s="39" t="n"/>
      <c r="H67" s="39" t="n">
        <v>0</v>
      </c>
      <c r="I67" s="39" t="n"/>
      <c r="J67" s="40" t="n">
        <v>-4334.51</v>
      </c>
      <c r="L67" s="41" t="n"/>
      <c r="M67" s="41" t="n"/>
      <c r="N67" s="41" t="n"/>
      <c r="O67" s="41" t="n"/>
      <c r="P67" s="21" t="n"/>
      <c r="Q67" s="39" t="n"/>
      <c r="R67" s="39" t="n"/>
      <c r="S67" s="39" t="n"/>
      <c r="T67" s="42" t="n"/>
      <c r="V67" s="41" t="n"/>
      <c r="W67" s="41" t="n"/>
      <c r="X67" s="41" t="n"/>
      <c r="Y67" s="21" t="n"/>
      <c r="Z67" s="39" t="n"/>
      <c r="AA67" s="39" t="n"/>
      <c r="AB67" s="39" t="n"/>
      <c r="AC67" s="42" t="n"/>
      <c r="AE67" s="32">
        <f>IFERROR(O67/N67,"")</f>
        <v/>
      </c>
      <c r="AF67" s="32">
        <f>IFERROR(AE67*3.6/1.02264,"")</f>
        <v/>
      </c>
      <c r="AG67" s="33">
        <f>IF(COUNTA(A67:J67)=0,"",ROUND(F67+G67+H67+I67-J67,2))</f>
        <v/>
      </c>
      <c r="AH67" s="43">
        <f>IFERROR(S67/E67,"")</f>
        <v/>
      </c>
      <c r="AI67" s="43">
        <f>IFERROR(AB67/E67,"")</f>
        <v/>
      </c>
      <c r="AJ67" s="44">
        <f>IF(COUNTA(S67,AB67)=0,"",S67+AB67)</f>
        <v/>
      </c>
      <c r="AL67" s="15" t="inlineStr">
        <is>
          <t>OctoSheet.xlsx</t>
        </is>
      </c>
      <c r="AM67" s="15" t="inlineStr">
        <is>
          <t>Ref=EMAIL</t>
        </is>
      </c>
      <c r="AN67" s="15" t="inlineStr">
        <is>
          <t>REPLY</t>
        </is>
      </c>
      <c r="AO67" s="35" t="inlineStr">
        <is>
          <t>LOG</t>
        </is>
      </c>
      <c r="AP67" s="35" t="inlineStr">
        <is>
          <t>Rejecting consolidation; Mapped REPLY amount to ADJ</t>
        </is>
      </c>
    </row>
    <row r="68">
      <c r="A68" s="15" t="inlineStr">
        <is>
          <t>OCTOPUS</t>
        </is>
      </c>
      <c r="B68" s="16" t="n">
        <v>46101</v>
      </c>
      <c r="C68" s="16" t="n"/>
      <c r="D68" s="16" t="n">
        <v>46101</v>
      </c>
      <c r="E68" s="38" t="n"/>
      <c r="F68" s="39" t="n">
        <v>-4334.51</v>
      </c>
      <c r="G68" s="39" t="n"/>
      <c r="H68" s="39" t="n">
        <v>260</v>
      </c>
      <c r="I68" s="39" t="n"/>
      <c r="J68" s="40" t="n">
        <v>-4074.51</v>
      </c>
      <c r="L68" s="41" t="n"/>
      <c r="M68" s="41" t="n"/>
      <c r="N68" s="41" t="n"/>
      <c r="O68" s="41" t="n"/>
      <c r="P68" s="21" t="n"/>
      <c r="Q68" s="39" t="n"/>
      <c r="R68" s="39" t="n"/>
      <c r="S68" s="39" t="n"/>
      <c r="T68" s="42" t="n"/>
      <c r="V68" s="41" t="n"/>
      <c r="W68" s="41" t="n"/>
      <c r="X68" s="41" t="n"/>
      <c r="Y68" s="21" t="n"/>
      <c r="Z68" s="39" t="n"/>
      <c r="AA68" s="39" t="n"/>
      <c r="AB68" s="39" t="n"/>
      <c r="AC68" s="42" t="n"/>
      <c r="AE68" s="32">
        <f>IFERROR(O68/N68,"")</f>
        <v/>
      </c>
      <c r="AF68" s="32">
        <f>IFERROR(AE68*3.6/1.02264,"")</f>
        <v/>
      </c>
      <c r="AG68" s="33">
        <f>IF(COUNTA(A68:J68)=0,"",ROUND(F68+G68+H68+I68-J68,2))</f>
        <v/>
      </c>
      <c r="AH68" s="43">
        <f>IFERROR(S68/E68,"")</f>
        <v/>
      </c>
      <c r="AI68" s="43">
        <f>IFERROR(AB68/E68,"")</f>
        <v/>
      </c>
      <c r="AJ68" s="44">
        <f>IF(COUNTA(S68,AB68)=0,"",S68+AB68)</f>
        <v/>
      </c>
      <c r="AL68" s="15" t="inlineStr">
        <is>
          <t>OctoSheet.xlsx</t>
        </is>
      </c>
      <c r="AM68" s="15" t="inlineStr">
        <is>
          <t>Ref=EMAIL</t>
        </is>
      </c>
      <c r="AN68" s="15" t="inlineStr">
        <is>
          <t>ADMIN</t>
        </is>
      </c>
      <c r="AO68" s="35" t="inlineStr">
        <is>
          <t>CLAIM</t>
        </is>
      </c>
      <c r="AP68" s="35" t="inlineStr">
        <is>
          <t>13hrs @ Â£20/hr added; Mapped ADMIN amount to ADJ</t>
        </is>
      </c>
    </row>
    <row r="69">
      <c r="A69" s="15" t="inlineStr">
        <is>
          <t>OCTOPUS</t>
        </is>
      </c>
      <c r="B69" s="16" t="n">
        <v>46102</v>
      </c>
      <c r="C69" s="16" t="n"/>
      <c r="D69" s="16" t="n">
        <v>46102</v>
      </c>
      <c r="E69" s="38" t="n"/>
      <c r="F69" s="39" t="n">
        <v>-4074.51</v>
      </c>
      <c r="G69" s="39" t="n"/>
      <c r="H69" s="39" t="n">
        <v>0</v>
      </c>
      <c r="I69" s="39" t="n"/>
      <c r="J69" s="40" t="n">
        <v>-4074.51</v>
      </c>
      <c r="L69" s="41" t="n"/>
      <c r="M69" s="41" t="n"/>
      <c r="N69" s="41" t="n"/>
      <c r="O69" s="41" t="n"/>
      <c r="P69" s="21" t="n"/>
      <c r="Q69" s="39" t="n"/>
      <c r="R69" s="39" t="n"/>
      <c r="S69" s="39" t="n"/>
      <c r="T69" s="42" t="n"/>
      <c r="V69" s="41" t="n"/>
      <c r="W69" s="41" t="n"/>
      <c r="X69" s="41" t="n"/>
      <c r="Y69" s="21" t="n"/>
      <c r="Z69" s="39" t="n"/>
      <c r="AA69" s="39" t="n"/>
      <c r="AB69" s="39" t="n"/>
      <c r="AC69" s="42" t="n"/>
      <c r="AE69" s="32">
        <f>IFERROR(O69/N69,"")</f>
        <v/>
      </c>
      <c r="AF69" s="32">
        <f>IFERROR(AE69*3.6/1.02264,"")</f>
        <v/>
      </c>
      <c r="AG69" s="33">
        <f>IF(COUNTA(A69:J69)=0,"",ROUND(F69+G69+H69+I69-J69,2))</f>
        <v/>
      </c>
      <c r="AH69" s="43">
        <f>IFERROR(S69/E69,"")</f>
        <v/>
      </c>
      <c r="AI69" s="43">
        <f>IFERROR(AB69/E69,"")</f>
        <v/>
      </c>
      <c r="AJ69" s="44">
        <f>IF(COUNTA(S69,AB69)=0,"",S69+AB69)</f>
        <v/>
      </c>
      <c r="AL69" s="15" t="inlineStr">
        <is>
          <t>OctoSheet.xlsx</t>
        </is>
      </c>
      <c r="AM69" s="15" t="inlineStr">
        <is>
          <t>Ref=EMAIL</t>
        </is>
      </c>
      <c r="AN69" s="15" t="inlineStr">
        <is>
          <t>P01-P06</t>
        </is>
      </c>
      <c r="AO69" s="35" t="inlineStr">
        <is>
          <t>LOG</t>
        </is>
      </c>
      <c r="AP69" s="35" t="inlineStr">
        <is>
          <t>Structure Re-asserted; Mapped P01-P06 amount to ADJ</t>
        </is>
      </c>
    </row>
    <row r="70">
      <c r="A70" s="15" t="inlineStr">
        <is>
          <t>OCTOPUS</t>
        </is>
      </c>
      <c r="B70" s="16" t="n">
        <v>46103</v>
      </c>
      <c r="C70" s="16" t="n"/>
      <c r="D70" s="16" t="n">
        <v>46103</v>
      </c>
      <c r="E70" s="38" t="n"/>
      <c r="F70" s="39" t="n">
        <v>-4074.51</v>
      </c>
      <c r="G70" s="39" t="n"/>
      <c r="H70" s="39" t="n">
        <v>0</v>
      </c>
      <c r="I70" s="39" t="n"/>
      <c r="J70" s="40" t="n">
        <v>-4074.51</v>
      </c>
      <c r="L70" s="41" t="n"/>
      <c r="M70" s="41" t="n"/>
      <c r="N70" s="41" t="n"/>
      <c r="O70" s="41" t="n"/>
      <c r="P70" s="21" t="n"/>
      <c r="Q70" s="39" t="n"/>
      <c r="R70" s="39" t="n"/>
      <c r="S70" s="39" t="n"/>
      <c r="T70" s="42" t="n"/>
      <c r="V70" s="41" t="n"/>
      <c r="W70" s="41" t="n"/>
      <c r="X70" s="41" t="n"/>
      <c r="Y70" s="21" t="n"/>
      <c r="Z70" s="39" t="n"/>
      <c r="AA70" s="39" t="n"/>
      <c r="AB70" s="39" t="n"/>
      <c r="AC70" s="42" t="n"/>
      <c r="AE70" s="32">
        <f>IFERROR(O70/N70,"")</f>
        <v/>
      </c>
      <c r="AF70" s="32">
        <f>IFERROR(AE70*3.6/1.02264,"")</f>
        <v/>
      </c>
      <c r="AG70" s="33">
        <f>IF(COUNTA(A70:J70)=0,"",ROUND(F70+G70+H70+I70-J70,2))</f>
        <v/>
      </c>
      <c r="AH70" s="43">
        <f>IFERROR(S70/E70,"")</f>
        <v/>
      </c>
      <c r="AI70" s="43">
        <f>IFERROR(AB70/E70,"")</f>
        <v/>
      </c>
      <c r="AJ70" s="44">
        <f>IF(COUNTA(S70,AB70)=0,"",S70+AB70)</f>
        <v/>
      </c>
      <c r="AL70" s="15" t="inlineStr">
        <is>
          <t>OctoSheet.xlsx</t>
        </is>
      </c>
      <c r="AM70" s="15" t="inlineStr">
        <is>
          <t>Ref=STATUS</t>
        </is>
      </c>
      <c r="AN70" s="15" t="inlineStr">
        <is>
          <t>AUDIT</t>
        </is>
      </c>
      <c r="AO70" s="35" t="inlineStr">
        <is>
          <t>DONE</t>
        </is>
      </c>
      <c r="AP70" s="35" t="inlineStr">
        <is>
          <t>Master Audit Compiled; Mapped AUDIT amount to ADJ</t>
        </is>
      </c>
    </row>
    <row r="71">
      <c r="A71" s="15" t="n"/>
      <c r="B71" s="16" t="n"/>
      <c r="C71" s="16" t="n"/>
      <c r="D71" s="16" t="n"/>
      <c r="E71" s="38" t="n"/>
      <c r="F71" s="39" t="n"/>
      <c r="G71" s="39" t="n"/>
      <c r="H71" s="39" t="n"/>
      <c r="I71" s="39" t="n"/>
      <c r="J71" s="40" t="n"/>
      <c r="L71" s="41" t="n"/>
      <c r="M71" s="41" t="n"/>
      <c r="N71" s="41" t="n"/>
      <c r="O71" s="41" t="n"/>
      <c r="P71" s="21" t="n"/>
      <c r="Q71" s="39" t="n"/>
      <c r="R71" s="39" t="n"/>
      <c r="S71" s="39" t="n"/>
      <c r="T71" s="42" t="n"/>
      <c r="V71" s="41" t="n"/>
      <c r="W71" s="41" t="n"/>
      <c r="X71" s="41" t="n"/>
      <c r="Y71" s="21" t="n"/>
      <c r="Z71" s="39" t="n"/>
      <c r="AA71" s="39" t="n"/>
      <c r="AB71" s="39" t="n"/>
      <c r="AC71" s="42" t="n"/>
      <c r="AE71" s="32">
        <f>IFERROR(O71/N71,"")</f>
        <v/>
      </c>
      <c r="AF71" s="32">
        <f>IFERROR(AE71*3.6/1.02264,"")</f>
        <v/>
      </c>
      <c r="AG71" s="33">
        <f>IF(COUNTA(A71:J71)=0,"",ROUND(F71+G71+H71+I71-J71,2))</f>
        <v/>
      </c>
      <c r="AH71" s="43">
        <f>IFERROR(S71/E71,"")</f>
        <v/>
      </c>
      <c r="AI71" s="43">
        <f>IFERROR(AB71/E71,"")</f>
        <v/>
      </c>
      <c r="AJ71" s="44">
        <f>IF(COUNTA(S71,AB71)=0,"",S71+AB71)</f>
        <v/>
      </c>
      <c r="AL71" s="15" t="n"/>
      <c r="AM71" s="15" t="n"/>
      <c r="AN71" s="15" t="n"/>
      <c r="AO71" s="35" t="n"/>
      <c r="AP71" s="35" t="n"/>
    </row>
    <row r="72">
      <c r="A72" s="15" t="n"/>
      <c r="B72" s="16" t="n"/>
      <c r="C72" s="16" t="n"/>
      <c r="D72" s="16" t="n"/>
      <c r="E72" s="38" t="n"/>
      <c r="F72" s="39" t="n"/>
      <c r="G72" s="39" t="n"/>
      <c r="H72" s="39" t="n"/>
      <c r="I72" s="39" t="n"/>
      <c r="J72" s="40" t="n"/>
      <c r="L72" s="41" t="n"/>
      <c r="M72" s="41" t="n"/>
      <c r="N72" s="41" t="n"/>
      <c r="O72" s="41" t="n"/>
      <c r="P72" s="21" t="n"/>
      <c r="Q72" s="39" t="n"/>
      <c r="R72" s="39" t="n"/>
      <c r="S72" s="39" t="n"/>
      <c r="T72" s="42" t="n"/>
      <c r="V72" s="41" t="n"/>
      <c r="W72" s="41" t="n"/>
      <c r="X72" s="41" t="n"/>
      <c r="Y72" s="21" t="n"/>
      <c r="Z72" s="39" t="n"/>
      <c r="AA72" s="39" t="n"/>
      <c r="AB72" s="39" t="n"/>
      <c r="AC72" s="42" t="n"/>
      <c r="AE72" s="32">
        <f>IFERROR(O72/N72,"")</f>
        <v/>
      </c>
      <c r="AF72" s="32">
        <f>IFERROR(AE72*3.6/1.02264,"")</f>
        <v/>
      </c>
      <c r="AG72" s="33">
        <f>IF(COUNTA(A72:J72)=0,"",ROUND(F72+G72+H72+I72-J72,2))</f>
        <v/>
      </c>
      <c r="AH72" s="43">
        <f>IFERROR(S72/E72,"")</f>
        <v/>
      </c>
      <c r="AI72" s="43">
        <f>IFERROR(AB72/E72,"")</f>
        <v/>
      </c>
      <c r="AJ72" s="44">
        <f>IF(COUNTA(S72,AB72)=0,"",S72+AB72)</f>
        <v/>
      </c>
      <c r="AL72" s="15" t="n"/>
      <c r="AM72" s="15" t="n"/>
      <c r="AN72" s="15" t="n"/>
      <c r="AO72" s="35" t="n"/>
      <c r="AP72" s="35" t="n"/>
    </row>
    <row r="73">
      <c r="A73" s="15" t="n"/>
      <c r="B73" s="16" t="n"/>
      <c r="C73" s="16" t="n"/>
      <c r="D73" s="16" t="n"/>
      <c r="E73" s="38" t="n"/>
      <c r="F73" s="39" t="n"/>
      <c r="G73" s="39" t="n"/>
      <c r="H73" s="39" t="n"/>
      <c r="I73" s="39" t="n"/>
      <c r="J73" s="40" t="n"/>
      <c r="L73" s="41" t="n"/>
      <c r="M73" s="41" t="n"/>
      <c r="N73" s="41" t="n"/>
      <c r="O73" s="41" t="n"/>
      <c r="P73" s="21" t="n"/>
      <c r="Q73" s="39" t="n"/>
      <c r="R73" s="39" t="n"/>
      <c r="S73" s="39" t="n"/>
      <c r="T73" s="42" t="n"/>
      <c r="V73" s="41" t="n"/>
      <c r="W73" s="41" t="n"/>
      <c r="X73" s="41" t="n"/>
      <c r="Y73" s="21" t="n"/>
      <c r="Z73" s="39" t="n"/>
      <c r="AA73" s="39" t="n"/>
      <c r="AB73" s="39" t="n"/>
      <c r="AC73" s="42" t="n"/>
      <c r="AE73" s="32">
        <f>IFERROR(O73/N73,"")</f>
        <v/>
      </c>
      <c r="AF73" s="32">
        <f>IFERROR(AE73*3.6/1.02264,"")</f>
        <v/>
      </c>
      <c r="AG73" s="33">
        <f>IF(COUNTA(A73:J73)=0,"",ROUND(F73+G73+H73+I73-J73,2))</f>
        <v/>
      </c>
      <c r="AH73" s="43">
        <f>IFERROR(S73/E73,"")</f>
        <v/>
      </c>
      <c r="AI73" s="43">
        <f>IFERROR(AB73/E73,"")</f>
        <v/>
      </c>
      <c r="AJ73" s="44">
        <f>IF(COUNTA(S73,AB73)=0,"",S73+AB73)</f>
        <v/>
      </c>
      <c r="AL73" s="15" t="n"/>
      <c r="AM73" s="15" t="n"/>
      <c r="AN73" s="15" t="n"/>
      <c r="AO73" s="35" t="n"/>
      <c r="AP73" s="35" t="n"/>
    </row>
    <row r="74">
      <c r="A74" s="15" t="n"/>
      <c r="B74" s="16" t="n"/>
      <c r="C74" s="16" t="n"/>
      <c r="D74" s="16" t="n"/>
      <c r="E74" s="38" t="n"/>
      <c r="F74" s="39" t="n"/>
      <c r="G74" s="39" t="n"/>
      <c r="H74" s="39" t="n"/>
      <c r="I74" s="39" t="n"/>
      <c r="J74" s="40" t="n"/>
      <c r="L74" s="41" t="n"/>
      <c r="M74" s="41" t="n"/>
      <c r="N74" s="41" t="n"/>
      <c r="O74" s="41" t="n"/>
      <c r="P74" s="21" t="n"/>
      <c r="Q74" s="39" t="n"/>
      <c r="R74" s="39" t="n"/>
      <c r="S74" s="39" t="n"/>
      <c r="T74" s="42" t="n"/>
      <c r="V74" s="41" t="n"/>
      <c r="W74" s="41" t="n"/>
      <c r="X74" s="41" t="n"/>
      <c r="Y74" s="21" t="n"/>
      <c r="Z74" s="39" t="n"/>
      <c r="AA74" s="39" t="n"/>
      <c r="AB74" s="39" t="n"/>
      <c r="AC74" s="42" t="n"/>
      <c r="AE74" s="32">
        <f>IFERROR(O74/N74,"")</f>
        <v/>
      </c>
      <c r="AF74" s="32">
        <f>IFERROR(AE74*3.6/1.02264,"")</f>
        <v/>
      </c>
      <c r="AG74" s="33">
        <f>IF(COUNTA(A74:J74)=0,"",ROUND(F74+G74+H74+I74-J74,2))</f>
        <v/>
      </c>
      <c r="AH74" s="43">
        <f>IFERROR(S74/E74,"")</f>
        <v/>
      </c>
      <c r="AI74" s="43">
        <f>IFERROR(AB74/E74,"")</f>
        <v/>
      </c>
      <c r="AJ74" s="44">
        <f>IF(COUNTA(S74,AB74)=0,"",S74+AB74)</f>
        <v/>
      </c>
      <c r="AL74" s="15" t="n"/>
      <c r="AM74" s="15" t="n"/>
      <c r="AN74" s="15" t="n"/>
      <c r="AO74" s="35" t="n"/>
      <c r="AP74" s="35" t="n"/>
    </row>
    <row r="75">
      <c r="A75" s="15" t="n"/>
      <c r="B75" s="16" t="n"/>
      <c r="C75" s="16" t="n"/>
      <c r="D75" s="16" t="n"/>
      <c r="E75" s="38" t="n"/>
      <c r="F75" s="39" t="n"/>
      <c r="G75" s="39" t="n"/>
      <c r="H75" s="39" t="n"/>
      <c r="I75" s="39" t="n"/>
      <c r="J75" s="40" t="n"/>
      <c r="L75" s="41" t="n"/>
      <c r="M75" s="41" t="n"/>
      <c r="N75" s="41" t="n"/>
      <c r="O75" s="41" t="n"/>
      <c r="P75" s="21" t="n"/>
      <c r="Q75" s="39" t="n"/>
      <c r="R75" s="39" t="n"/>
      <c r="S75" s="39" t="n"/>
      <c r="T75" s="42" t="n"/>
      <c r="V75" s="41" t="n"/>
      <c r="W75" s="41" t="n"/>
      <c r="X75" s="41" t="n"/>
      <c r="Y75" s="21" t="n"/>
      <c r="Z75" s="39" t="n"/>
      <c r="AA75" s="39" t="n"/>
      <c r="AB75" s="39" t="n"/>
      <c r="AC75" s="42" t="n"/>
      <c r="AE75" s="32">
        <f>IFERROR(O75/N75,"")</f>
        <v/>
      </c>
      <c r="AF75" s="32">
        <f>IFERROR(AE75*3.6/1.02264,"")</f>
        <v/>
      </c>
      <c r="AG75" s="33">
        <f>IF(COUNTA(A75:J75)=0,"",ROUND(F75+G75+H75+I75-J75,2))</f>
        <v/>
      </c>
      <c r="AH75" s="43">
        <f>IFERROR(S75/E75,"")</f>
        <v/>
      </c>
      <c r="AI75" s="43">
        <f>IFERROR(AB75/E75,"")</f>
        <v/>
      </c>
      <c r="AJ75" s="44">
        <f>IF(COUNTA(S75,AB75)=0,"",S75+AB75)</f>
        <v/>
      </c>
      <c r="AL75" s="15" t="n"/>
      <c r="AM75" s="15" t="n"/>
      <c r="AN75" s="15" t="n"/>
      <c r="AO75" s="35" t="n"/>
      <c r="AP75" s="35" t="n"/>
    </row>
    <row r="76">
      <c r="A76" s="15" t="n"/>
      <c r="B76" s="16" t="n"/>
      <c r="C76" s="16" t="n"/>
      <c r="D76" s="16" t="n"/>
      <c r="E76" s="38" t="n"/>
      <c r="F76" s="39" t="n"/>
      <c r="G76" s="39" t="n"/>
      <c r="H76" s="39" t="n"/>
      <c r="I76" s="39" t="n"/>
      <c r="J76" s="40" t="n"/>
      <c r="L76" s="41" t="n"/>
      <c r="M76" s="41" t="n"/>
      <c r="N76" s="41" t="n"/>
      <c r="O76" s="41" t="n"/>
      <c r="P76" s="21" t="n"/>
      <c r="Q76" s="39" t="n"/>
      <c r="R76" s="39" t="n"/>
      <c r="S76" s="39" t="n"/>
      <c r="T76" s="42" t="n"/>
      <c r="V76" s="41" t="n"/>
      <c r="W76" s="41" t="n"/>
      <c r="X76" s="41" t="n"/>
      <c r="Y76" s="21" t="n"/>
      <c r="Z76" s="39" t="n"/>
      <c r="AA76" s="39" t="n"/>
      <c r="AB76" s="39" t="n"/>
      <c r="AC76" s="42" t="n"/>
      <c r="AE76" s="32">
        <f>IFERROR(O76/N76,"")</f>
        <v/>
      </c>
      <c r="AF76" s="32">
        <f>IFERROR(AE76*3.6/1.02264,"")</f>
        <v/>
      </c>
      <c r="AG76" s="33">
        <f>IF(COUNTA(A76:J76)=0,"",ROUND(F76+G76+H76+I76-J76,2))</f>
        <v/>
      </c>
      <c r="AH76" s="43">
        <f>IFERROR(S76/E76,"")</f>
        <v/>
      </c>
      <c r="AI76" s="43">
        <f>IFERROR(AB76/E76,"")</f>
        <v/>
      </c>
      <c r="AJ76" s="44">
        <f>IF(COUNTA(S76,AB76)=0,"",S76+AB76)</f>
        <v/>
      </c>
      <c r="AL76" s="15" t="n"/>
      <c r="AM76" s="15" t="n"/>
      <c r="AN76" s="15" t="n"/>
      <c r="AO76" s="35" t="n"/>
      <c r="AP76" s="35" t="n"/>
    </row>
    <row r="77">
      <c r="A77" s="15" t="n"/>
      <c r="B77" s="16" t="n"/>
      <c r="C77" s="16" t="n"/>
      <c r="D77" s="16" t="n"/>
      <c r="E77" s="38" t="n"/>
      <c r="F77" s="39" t="n"/>
      <c r="G77" s="39" t="n"/>
      <c r="H77" s="39" t="n"/>
      <c r="I77" s="39" t="n"/>
      <c r="J77" s="40" t="n"/>
      <c r="L77" s="41" t="n"/>
      <c r="M77" s="41" t="n"/>
      <c r="N77" s="41" t="n"/>
      <c r="O77" s="41" t="n"/>
      <c r="P77" s="21" t="n"/>
      <c r="Q77" s="39" t="n"/>
      <c r="R77" s="39" t="n"/>
      <c r="S77" s="39" t="n"/>
      <c r="T77" s="42" t="n"/>
      <c r="V77" s="41" t="n"/>
      <c r="W77" s="41" t="n"/>
      <c r="X77" s="41" t="n"/>
      <c r="Y77" s="21" t="n"/>
      <c r="Z77" s="39" t="n"/>
      <c r="AA77" s="39" t="n"/>
      <c r="AB77" s="39" t="n"/>
      <c r="AC77" s="42" t="n"/>
      <c r="AE77" s="32">
        <f>IFERROR(O77/N77,"")</f>
        <v/>
      </c>
      <c r="AF77" s="32">
        <f>IFERROR(AE77*3.6/1.02264,"")</f>
        <v/>
      </c>
      <c r="AG77" s="33">
        <f>IF(COUNTA(A77:J77)=0,"",ROUND(F77+G77+H77+I77-J77,2))</f>
        <v/>
      </c>
      <c r="AH77" s="43">
        <f>IFERROR(S77/E77,"")</f>
        <v/>
      </c>
      <c r="AI77" s="43">
        <f>IFERROR(AB77/E77,"")</f>
        <v/>
      </c>
      <c r="AJ77" s="44">
        <f>IF(COUNTA(S77,AB77)=0,"",S77+AB77)</f>
        <v/>
      </c>
      <c r="AL77" s="15" t="n"/>
      <c r="AM77" s="15" t="n"/>
      <c r="AN77" s="15" t="n"/>
      <c r="AO77" s="35" t="n"/>
      <c r="AP77" s="35" t="n"/>
    </row>
    <row r="78">
      <c r="A78" s="15" t="n"/>
      <c r="B78" s="16" t="n"/>
      <c r="C78" s="16" t="n"/>
      <c r="D78" s="16" t="n"/>
      <c r="E78" s="38" t="n"/>
      <c r="F78" s="39" t="n"/>
      <c r="G78" s="39" t="n"/>
      <c r="H78" s="39" t="n"/>
      <c r="I78" s="39" t="n"/>
      <c r="J78" s="40" t="n"/>
      <c r="L78" s="41" t="n"/>
      <c r="M78" s="41" t="n"/>
      <c r="N78" s="41" t="n"/>
      <c r="O78" s="41" t="n"/>
      <c r="P78" s="21" t="n"/>
      <c r="Q78" s="39" t="n"/>
      <c r="R78" s="39" t="n"/>
      <c r="S78" s="39" t="n"/>
      <c r="T78" s="42" t="n"/>
      <c r="V78" s="41" t="n"/>
      <c r="W78" s="41" t="n"/>
      <c r="X78" s="41" t="n"/>
      <c r="Y78" s="21" t="n"/>
      <c r="Z78" s="39" t="n"/>
      <c r="AA78" s="39" t="n"/>
      <c r="AB78" s="39" t="n"/>
      <c r="AC78" s="42" t="n"/>
      <c r="AE78" s="32">
        <f>IFERROR(O78/N78,"")</f>
        <v/>
      </c>
      <c r="AF78" s="32">
        <f>IFERROR(AE78*3.6/1.02264,"")</f>
        <v/>
      </c>
      <c r="AG78" s="33">
        <f>IF(COUNTA(A78:J78)=0,"",ROUND(F78+G78+H78+I78-J78,2))</f>
        <v/>
      </c>
      <c r="AH78" s="43">
        <f>IFERROR(S78/E78,"")</f>
        <v/>
      </c>
      <c r="AI78" s="43">
        <f>IFERROR(AB78/E78,"")</f>
        <v/>
      </c>
      <c r="AJ78" s="44">
        <f>IF(COUNTA(S78,AB78)=0,"",S78+AB78)</f>
        <v/>
      </c>
      <c r="AL78" s="15" t="n"/>
      <c r="AM78" s="15" t="n"/>
      <c r="AN78" s="15" t="n"/>
      <c r="AO78" s="35" t="n"/>
      <c r="AP78" s="35" t="n"/>
    </row>
    <row r="79">
      <c r="A79" s="27" t="n"/>
      <c r="B79" s="28" t="n"/>
      <c r="C79" s="28" t="n"/>
      <c r="D79" s="28" t="n"/>
      <c r="E79" s="45" t="n"/>
      <c r="F79" s="46" t="n"/>
      <c r="G79" s="46" t="n"/>
      <c r="H79" s="46" t="n"/>
      <c r="I79" s="46" t="n"/>
      <c r="J79" s="40" t="n"/>
      <c r="L79" s="45" t="n"/>
      <c r="M79" s="45" t="n"/>
      <c r="N79" s="45" t="n"/>
      <c r="O79" s="45" t="n"/>
      <c r="P79" s="31" t="n"/>
      <c r="Q79" s="46" t="n"/>
      <c r="R79" s="46" t="n"/>
      <c r="S79" s="46" t="n"/>
      <c r="T79" s="42" t="n"/>
      <c r="V79" s="45" t="n"/>
      <c r="W79" s="45" t="n"/>
      <c r="X79" s="45" t="n"/>
      <c r="Y79" s="31" t="n"/>
      <c r="Z79" s="46" t="n"/>
      <c r="AA79" s="46" t="n"/>
      <c r="AB79" s="46" t="n"/>
      <c r="AC79" s="42" t="n"/>
      <c r="AE79" s="32" t="n"/>
      <c r="AF79" s="32" t="n"/>
      <c r="AG79" s="33" t="n"/>
      <c r="AH79" s="43" t="n"/>
      <c r="AI79" s="43" t="n"/>
      <c r="AJ79" s="44" t="n"/>
      <c r="AL79" s="35" t="n"/>
      <c r="AM79" s="35" t="n"/>
      <c r="AN79" s="35" t="n"/>
    </row>
    <row r="80">
      <c r="A80" s="27" t="n"/>
      <c r="B80" s="28" t="n"/>
      <c r="C80" s="28" t="n"/>
      <c r="D80" s="28" t="n"/>
      <c r="E80" s="45" t="n"/>
      <c r="F80" s="46" t="n"/>
      <c r="G80" s="46" t="n"/>
      <c r="H80" s="46" t="n"/>
      <c r="I80" s="46" t="n"/>
      <c r="J80" s="40" t="n"/>
      <c r="L80" s="45" t="n"/>
      <c r="M80" s="45" t="n"/>
      <c r="N80" s="45" t="n"/>
      <c r="O80" s="45" t="n"/>
      <c r="P80" s="31" t="n"/>
      <c r="Q80" s="46" t="n"/>
      <c r="R80" s="46" t="n"/>
      <c r="S80" s="46" t="n"/>
      <c r="T80" s="42" t="n"/>
      <c r="V80" s="45" t="n"/>
      <c r="W80" s="45" t="n"/>
      <c r="X80" s="45" t="n"/>
      <c r="Y80" s="31" t="n"/>
      <c r="Z80" s="46" t="n"/>
      <c r="AA80" s="46" t="n"/>
      <c r="AB80" s="46" t="n"/>
      <c r="AC80" s="42" t="n"/>
      <c r="AE80" s="32" t="n"/>
      <c r="AF80" s="32" t="n"/>
      <c r="AG80" s="33" t="n"/>
      <c r="AH80" s="43" t="n"/>
      <c r="AI80" s="43" t="n"/>
      <c r="AJ80" s="44" t="n"/>
      <c r="AL80" s="35" t="n"/>
      <c r="AM80" s="35" t="n"/>
      <c r="AN80" s="35" t="n"/>
    </row>
    <row r="81">
      <c r="A81" s="27" t="n"/>
      <c r="B81" s="28" t="n"/>
      <c r="C81" s="28" t="n"/>
      <c r="D81" s="28" t="n"/>
      <c r="E81" s="45" t="n"/>
      <c r="F81" s="46" t="n"/>
      <c r="G81" s="46" t="n"/>
      <c r="H81" s="46" t="n"/>
      <c r="I81" s="46" t="n"/>
      <c r="J81" s="40" t="n"/>
      <c r="L81" s="45" t="n"/>
      <c r="M81" s="45" t="n"/>
      <c r="N81" s="45" t="n"/>
      <c r="O81" s="45" t="n"/>
      <c r="P81" s="31" t="n"/>
      <c r="Q81" s="46" t="n"/>
      <c r="R81" s="46" t="n"/>
      <c r="S81" s="46" t="n"/>
      <c r="T81" s="42" t="n"/>
      <c r="V81" s="45" t="n"/>
      <c r="W81" s="45" t="n"/>
      <c r="X81" s="45" t="n"/>
      <c r="Y81" s="31" t="n"/>
      <c r="Z81" s="46" t="n"/>
      <c r="AA81" s="46" t="n"/>
      <c r="AB81" s="46" t="n"/>
      <c r="AC81" s="42" t="n"/>
      <c r="AE81" s="32" t="n"/>
      <c r="AF81" s="32" t="n"/>
      <c r="AG81" s="33" t="n"/>
      <c r="AH81" s="43" t="n"/>
      <c r="AI81" s="43" t="n"/>
      <c r="AJ81" s="44" t="n"/>
      <c r="AL81" s="35" t="n"/>
      <c r="AM81" s="35" t="n"/>
      <c r="AN81" s="35" t="n"/>
    </row>
    <row r="82">
      <c r="A82" s="27" t="n"/>
      <c r="B82" s="28" t="n"/>
      <c r="C82" s="28" t="n"/>
      <c r="D82" s="28" t="n"/>
      <c r="E82" s="45" t="n"/>
      <c r="F82" s="46" t="n"/>
      <c r="G82" s="46" t="n"/>
      <c r="H82" s="46" t="n"/>
      <c r="I82" s="46" t="n"/>
      <c r="J82" s="40" t="n"/>
      <c r="L82" s="45" t="n"/>
      <c r="M82" s="45" t="n"/>
      <c r="N82" s="45" t="n"/>
      <c r="O82" s="45" t="n"/>
      <c r="P82" s="31" t="n"/>
      <c r="Q82" s="46" t="n"/>
      <c r="R82" s="46" t="n"/>
      <c r="S82" s="46" t="n"/>
      <c r="T82" s="42" t="n"/>
      <c r="V82" s="45" t="n"/>
      <c r="W82" s="45" t="n"/>
      <c r="X82" s="45" t="n"/>
      <c r="Y82" s="31" t="n"/>
      <c r="Z82" s="46" t="n"/>
      <c r="AA82" s="46" t="n"/>
      <c r="AB82" s="46" t="n"/>
      <c r="AC82" s="42" t="n"/>
      <c r="AE82" s="32" t="n"/>
      <c r="AF82" s="32" t="n"/>
      <c r="AG82" s="33" t="n"/>
      <c r="AH82" s="43" t="n"/>
      <c r="AI82" s="43" t="n"/>
      <c r="AJ82" s="44" t="n"/>
      <c r="AL82" s="35" t="n"/>
      <c r="AM82" s="35" t="n"/>
      <c r="AN82" s="35" t="n"/>
    </row>
    <row r="83">
      <c r="A83" s="27" t="n"/>
      <c r="B83" s="28" t="n"/>
      <c r="C83" s="28" t="n"/>
      <c r="D83" s="28" t="n"/>
      <c r="E83" s="45" t="n"/>
      <c r="F83" s="46" t="n"/>
      <c r="G83" s="46" t="n"/>
      <c r="H83" s="46" t="n"/>
      <c r="I83" s="46" t="n"/>
      <c r="J83" s="40" t="n"/>
      <c r="L83" s="45" t="n"/>
      <c r="M83" s="45" t="n"/>
      <c r="N83" s="45" t="n"/>
      <c r="O83" s="45" t="n"/>
      <c r="P83" s="31" t="n"/>
      <c r="Q83" s="46" t="n"/>
      <c r="R83" s="46" t="n"/>
      <c r="S83" s="46" t="n"/>
      <c r="T83" s="42" t="n"/>
      <c r="V83" s="45" t="n"/>
      <c r="W83" s="45" t="n"/>
      <c r="X83" s="45" t="n"/>
      <c r="Y83" s="31" t="n"/>
      <c r="Z83" s="46" t="n"/>
      <c r="AA83" s="46" t="n"/>
      <c r="AB83" s="46" t="n"/>
      <c r="AC83" s="42" t="n"/>
      <c r="AE83" s="32" t="n"/>
      <c r="AF83" s="32" t="n"/>
      <c r="AG83" s="33" t="n"/>
      <c r="AH83" s="43" t="n"/>
      <c r="AI83" s="43" t="n"/>
      <c r="AJ83" s="44" t="n"/>
      <c r="AL83" s="35" t="n"/>
      <c r="AM83" s="35" t="n"/>
      <c r="AN83" s="35" t="n"/>
    </row>
    <row r="84">
      <c r="A84" s="27" t="n"/>
      <c r="B84" s="28" t="n"/>
      <c r="C84" s="28" t="n"/>
      <c r="D84" s="28" t="n"/>
      <c r="E84" s="45" t="n"/>
      <c r="F84" s="46" t="n"/>
      <c r="G84" s="46" t="n"/>
      <c r="H84" s="46" t="n"/>
      <c r="I84" s="46" t="n"/>
      <c r="J84" s="40" t="n"/>
      <c r="L84" s="45" t="n"/>
      <c r="M84" s="45" t="n"/>
      <c r="N84" s="45" t="n"/>
      <c r="O84" s="45" t="n"/>
      <c r="P84" s="31" t="n"/>
      <c r="Q84" s="46" t="n"/>
      <c r="R84" s="46" t="n"/>
      <c r="S84" s="46" t="n"/>
      <c r="T84" s="42" t="n"/>
      <c r="V84" s="45" t="n"/>
      <c r="W84" s="45" t="n"/>
      <c r="X84" s="45" t="n"/>
      <c r="Y84" s="31" t="n"/>
      <c r="Z84" s="46" t="n"/>
      <c r="AA84" s="46" t="n"/>
      <c r="AB84" s="46" t="n"/>
      <c r="AC84" s="42" t="n"/>
      <c r="AE84" s="32" t="n"/>
      <c r="AF84" s="32" t="n"/>
      <c r="AG84" s="33" t="n"/>
      <c r="AH84" s="43" t="n"/>
      <c r="AI84" s="43" t="n"/>
      <c r="AJ84" s="44" t="n"/>
      <c r="AL84" s="35" t="n"/>
      <c r="AM84" s="35" t="n"/>
      <c r="AN84" s="35" t="n"/>
    </row>
    <row r="85">
      <c r="A85" s="27" t="n"/>
      <c r="B85" s="28" t="n"/>
      <c r="C85" s="28" t="n"/>
      <c r="D85" s="28" t="n"/>
      <c r="E85" s="45" t="n"/>
      <c r="F85" s="46" t="n"/>
      <c r="G85" s="46" t="n"/>
      <c r="H85" s="46" t="n"/>
      <c r="I85" s="46" t="n"/>
      <c r="J85" s="40" t="n"/>
      <c r="L85" s="45" t="n"/>
      <c r="M85" s="45" t="n"/>
      <c r="N85" s="45" t="n"/>
      <c r="O85" s="45" t="n"/>
      <c r="P85" s="31" t="n"/>
      <c r="Q85" s="46" t="n"/>
      <c r="R85" s="46" t="n"/>
      <c r="S85" s="46" t="n"/>
      <c r="T85" s="42" t="n"/>
      <c r="V85" s="45" t="n"/>
      <c r="W85" s="45" t="n"/>
      <c r="X85" s="45" t="n"/>
      <c r="Y85" s="31" t="n"/>
      <c r="Z85" s="46" t="n"/>
      <c r="AA85" s="46" t="n"/>
      <c r="AB85" s="46" t="n"/>
      <c r="AC85" s="42" t="n"/>
      <c r="AE85" s="32" t="n"/>
      <c r="AF85" s="32" t="n"/>
      <c r="AG85" s="33" t="n"/>
      <c r="AH85" s="43" t="n"/>
      <c r="AI85" s="43" t="n"/>
      <c r="AJ85" s="44" t="n"/>
      <c r="AL85" s="35" t="n"/>
      <c r="AM85" s="35" t="n"/>
      <c r="AN85" s="35" t="n"/>
    </row>
    <row r="86">
      <c r="A86" s="27" t="n"/>
      <c r="B86" s="28" t="n"/>
      <c r="C86" s="28" t="n"/>
      <c r="D86" s="28" t="n"/>
      <c r="E86" s="45" t="n"/>
      <c r="F86" s="46" t="n"/>
      <c r="G86" s="46" t="n"/>
      <c r="H86" s="46" t="n"/>
      <c r="I86" s="46" t="n"/>
      <c r="J86" s="40" t="n"/>
      <c r="L86" s="45" t="n"/>
      <c r="M86" s="45" t="n"/>
      <c r="N86" s="45" t="n"/>
      <c r="O86" s="45" t="n"/>
      <c r="P86" s="31" t="n"/>
      <c r="Q86" s="46" t="n"/>
      <c r="R86" s="46" t="n"/>
      <c r="S86" s="46" t="n"/>
      <c r="T86" s="42" t="n"/>
      <c r="V86" s="45" t="n"/>
      <c r="W86" s="45" t="n"/>
      <c r="X86" s="45" t="n"/>
      <c r="Y86" s="31" t="n"/>
      <c r="Z86" s="46" t="n"/>
      <c r="AA86" s="46" t="n"/>
      <c r="AB86" s="46" t="n"/>
      <c r="AC86" s="42" t="n"/>
      <c r="AE86" s="32" t="n"/>
      <c r="AF86" s="32" t="n"/>
      <c r="AG86" s="33" t="n"/>
      <c r="AH86" s="43" t="n"/>
      <c r="AI86" s="43" t="n"/>
      <c r="AJ86" s="44" t="n"/>
      <c r="AL86" s="35" t="n"/>
      <c r="AM86" s="35" t="n"/>
      <c r="AN86" s="35" t="n"/>
    </row>
    <row r="87">
      <c r="A87" s="27" t="n"/>
      <c r="B87" s="28" t="n"/>
      <c r="C87" s="28" t="n"/>
      <c r="D87" s="28" t="n"/>
      <c r="E87" s="45" t="n"/>
      <c r="F87" s="46" t="n"/>
      <c r="G87" s="46" t="n"/>
      <c r="H87" s="46" t="n"/>
      <c r="I87" s="46" t="n"/>
      <c r="J87" s="40" t="n"/>
      <c r="L87" s="45" t="n"/>
      <c r="M87" s="45" t="n"/>
      <c r="N87" s="45" t="n"/>
      <c r="O87" s="45" t="n"/>
      <c r="P87" s="31" t="n"/>
      <c r="Q87" s="46" t="n"/>
      <c r="R87" s="46" t="n"/>
      <c r="S87" s="46" t="n"/>
      <c r="T87" s="42" t="n"/>
      <c r="V87" s="45" t="n"/>
      <c r="W87" s="45" t="n"/>
      <c r="X87" s="45" t="n"/>
      <c r="Y87" s="31" t="n"/>
      <c r="Z87" s="46" t="n"/>
      <c r="AA87" s="46" t="n"/>
      <c r="AB87" s="46" t="n"/>
      <c r="AC87" s="42" t="n"/>
      <c r="AE87" s="32" t="n"/>
      <c r="AF87" s="32" t="n"/>
      <c r="AG87" s="33" t="n"/>
      <c r="AH87" s="43" t="n"/>
      <c r="AI87" s="43" t="n"/>
      <c r="AJ87" s="44" t="n"/>
      <c r="AL87" s="35" t="n"/>
      <c r="AM87" s="35" t="n"/>
      <c r="AN87" s="35" t="n"/>
    </row>
    <row r="88">
      <c r="A88" s="27" t="n"/>
      <c r="B88" s="28" t="n"/>
      <c r="C88" s="28" t="n"/>
      <c r="D88" s="28" t="n"/>
      <c r="E88" s="45" t="n"/>
      <c r="F88" s="46" t="n"/>
      <c r="G88" s="46" t="n"/>
      <c r="H88" s="46" t="n"/>
      <c r="I88" s="46" t="n"/>
      <c r="J88" s="40" t="n"/>
      <c r="L88" s="45" t="n"/>
      <c r="M88" s="45" t="n"/>
      <c r="N88" s="45" t="n"/>
      <c r="O88" s="45" t="n"/>
      <c r="P88" s="31" t="n"/>
      <c r="Q88" s="46" t="n"/>
      <c r="R88" s="46" t="n"/>
      <c r="S88" s="46" t="n"/>
      <c r="T88" s="42" t="n"/>
      <c r="V88" s="45" t="n"/>
      <c r="W88" s="45" t="n"/>
      <c r="X88" s="45" t="n"/>
      <c r="Y88" s="31" t="n"/>
      <c r="Z88" s="46" t="n"/>
      <c r="AA88" s="46" t="n"/>
      <c r="AB88" s="46" t="n"/>
      <c r="AC88" s="42" t="n"/>
      <c r="AE88" s="32" t="n"/>
      <c r="AF88" s="32" t="n"/>
      <c r="AG88" s="33" t="n"/>
      <c r="AH88" s="43" t="n"/>
      <c r="AI88" s="43" t="n"/>
      <c r="AJ88" s="44" t="n"/>
      <c r="AL88" s="35" t="n"/>
      <c r="AM88" s="35" t="n"/>
      <c r="AN88" s="35" t="n"/>
    </row>
    <row r="89">
      <c r="A89" s="27" t="n"/>
      <c r="B89" s="28" t="n"/>
      <c r="C89" s="28" t="n"/>
      <c r="D89" s="28" t="n"/>
      <c r="E89" s="45" t="n"/>
      <c r="F89" s="46" t="n"/>
      <c r="G89" s="46" t="n"/>
      <c r="H89" s="46" t="n"/>
      <c r="I89" s="46" t="n"/>
      <c r="J89" s="40" t="n"/>
      <c r="L89" s="45" t="n"/>
      <c r="M89" s="45" t="n"/>
      <c r="N89" s="45" t="n"/>
      <c r="O89" s="45" t="n"/>
      <c r="P89" s="31" t="n"/>
      <c r="Q89" s="46" t="n"/>
      <c r="R89" s="46" t="n"/>
      <c r="S89" s="46" t="n"/>
      <c r="T89" s="42" t="n"/>
      <c r="V89" s="45" t="n"/>
      <c r="W89" s="45" t="n"/>
      <c r="X89" s="45" t="n"/>
      <c r="Y89" s="31" t="n"/>
      <c r="Z89" s="46" t="n"/>
      <c r="AA89" s="46" t="n"/>
      <c r="AB89" s="46" t="n"/>
      <c r="AC89" s="42" t="n"/>
      <c r="AE89" s="32" t="n"/>
      <c r="AF89" s="32" t="n"/>
      <c r="AG89" s="33" t="n"/>
      <c r="AH89" s="43" t="n"/>
      <c r="AI89" s="43" t="n"/>
      <c r="AJ89" s="44" t="n"/>
      <c r="AL89" s="35" t="n"/>
      <c r="AM89" s="35" t="n"/>
      <c r="AN89" s="35" t="n"/>
    </row>
    <row r="90">
      <c r="A90" s="27" t="n"/>
      <c r="B90" s="28" t="n"/>
      <c r="C90" s="28" t="n"/>
      <c r="D90" s="28" t="n"/>
      <c r="E90" s="45" t="n"/>
      <c r="F90" s="46" t="n"/>
      <c r="G90" s="46" t="n"/>
      <c r="H90" s="46" t="n"/>
      <c r="I90" s="46" t="n"/>
      <c r="J90" s="40" t="n"/>
      <c r="L90" s="45" t="n"/>
      <c r="M90" s="45" t="n"/>
      <c r="N90" s="45" t="n"/>
      <c r="O90" s="45" t="n"/>
      <c r="P90" s="31" t="n"/>
      <c r="Q90" s="46" t="n"/>
      <c r="R90" s="46" t="n"/>
      <c r="S90" s="46" t="n"/>
      <c r="T90" s="42" t="n"/>
      <c r="V90" s="45" t="n"/>
      <c r="W90" s="45" t="n"/>
      <c r="X90" s="45" t="n"/>
      <c r="Y90" s="31" t="n"/>
      <c r="Z90" s="46" t="n"/>
      <c r="AA90" s="46" t="n"/>
      <c r="AB90" s="46" t="n"/>
      <c r="AC90" s="42" t="n"/>
      <c r="AE90" s="32" t="n"/>
      <c r="AF90" s="32" t="n"/>
      <c r="AG90" s="33" t="n"/>
      <c r="AH90" s="43" t="n"/>
      <c r="AI90" s="43" t="n"/>
      <c r="AJ90" s="44" t="n"/>
      <c r="AL90" s="35" t="n"/>
      <c r="AM90" s="35" t="n"/>
      <c r="AN90" s="35" t="n"/>
    </row>
    <row r="91">
      <c r="A91" s="27" t="n"/>
      <c r="B91" s="28" t="n"/>
      <c r="C91" s="28" t="n"/>
      <c r="D91" s="28" t="n"/>
      <c r="E91" s="45" t="n"/>
      <c r="F91" s="46" t="n"/>
      <c r="G91" s="46" t="n"/>
      <c r="H91" s="46" t="n"/>
      <c r="I91" s="46" t="n"/>
      <c r="J91" s="40" t="n"/>
      <c r="L91" s="45" t="n"/>
      <c r="M91" s="45" t="n"/>
      <c r="N91" s="45" t="n"/>
      <c r="O91" s="45" t="n"/>
      <c r="P91" s="31" t="n"/>
      <c r="Q91" s="46" t="n"/>
      <c r="R91" s="46" t="n"/>
      <c r="S91" s="46" t="n"/>
      <c r="T91" s="42" t="n"/>
      <c r="V91" s="45" t="n"/>
      <c r="W91" s="45" t="n"/>
      <c r="X91" s="45" t="n"/>
      <c r="Y91" s="31" t="n"/>
      <c r="Z91" s="46" t="n"/>
      <c r="AA91" s="46" t="n"/>
      <c r="AB91" s="46" t="n"/>
      <c r="AC91" s="42" t="n"/>
      <c r="AE91" s="32" t="n"/>
      <c r="AF91" s="32" t="n"/>
      <c r="AG91" s="33" t="n"/>
      <c r="AH91" s="43" t="n"/>
      <c r="AI91" s="43" t="n"/>
      <c r="AJ91" s="44" t="n"/>
      <c r="AL91" s="35" t="n"/>
      <c r="AM91" s="35" t="n"/>
      <c r="AN91" s="35" t="n"/>
    </row>
    <row r="92">
      <c r="A92" s="27" t="n"/>
      <c r="B92" s="28" t="n"/>
      <c r="C92" s="28" t="n"/>
      <c r="D92" s="28" t="n"/>
      <c r="E92" s="45" t="n"/>
      <c r="F92" s="46" t="n"/>
      <c r="G92" s="46" t="n"/>
      <c r="H92" s="46" t="n"/>
      <c r="I92" s="46" t="n"/>
      <c r="J92" s="40" t="n"/>
      <c r="L92" s="45" t="n"/>
      <c r="M92" s="45" t="n"/>
      <c r="N92" s="45" t="n"/>
      <c r="O92" s="45" t="n"/>
      <c r="P92" s="31" t="n"/>
      <c r="Q92" s="46" t="n"/>
      <c r="R92" s="46" t="n"/>
      <c r="S92" s="46" t="n"/>
      <c r="T92" s="42" t="n"/>
      <c r="V92" s="45" t="n"/>
      <c r="W92" s="45" t="n"/>
      <c r="X92" s="45" t="n"/>
      <c r="Y92" s="31" t="n"/>
      <c r="Z92" s="46" t="n"/>
      <c r="AA92" s="46" t="n"/>
      <c r="AB92" s="46" t="n"/>
      <c r="AC92" s="42" t="n"/>
      <c r="AE92" s="32" t="n"/>
      <c r="AF92" s="32" t="n"/>
      <c r="AG92" s="33" t="n"/>
      <c r="AH92" s="43" t="n"/>
      <c r="AI92" s="43" t="n"/>
      <c r="AJ92" s="44" t="n"/>
      <c r="AL92" s="35" t="n"/>
      <c r="AM92" s="35" t="n"/>
      <c r="AN92" s="35" t="n"/>
    </row>
    <row r="93">
      <c r="A93" s="27" t="n"/>
      <c r="B93" s="28" t="n"/>
      <c r="C93" s="28" t="n"/>
      <c r="D93" s="28" t="n"/>
      <c r="E93" s="45" t="n"/>
      <c r="F93" s="46" t="n"/>
      <c r="G93" s="46" t="n"/>
      <c r="H93" s="46" t="n"/>
      <c r="I93" s="46" t="n"/>
      <c r="J93" s="40" t="n"/>
      <c r="L93" s="45" t="n"/>
      <c r="M93" s="45" t="n"/>
      <c r="N93" s="45" t="n"/>
      <c r="O93" s="45" t="n"/>
      <c r="P93" s="31" t="n"/>
      <c r="Q93" s="46" t="n"/>
      <c r="R93" s="46" t="n"/>
      <c r="S93" s="46" t="n"/>
      <c r="T93" s="42" t="n"/>
      <c r="V93" s="45" t="n"/>
      <c r="W93" s="45" t="n"/>
      <c r="X93" s="45" t="n"/>
      <c r="Y93" s="31" t="n"/>
      <c r="Z93" s="46" t="n"/>
      <c r="AA93" s="46" t="n"/>
      <c r="AB93" s="46" t="n"/>
      <c r="AC93" s="42" t="n"/>
      <c r="AE93" s="32" t="n"/>
      <c r="AF93" s="32" t="n"/>
      <c r="AG93" s="33" t="n"/>
      <c r="AH93" s="43" t="n"/>
      <c r="AI93" s="43" t="n"/>
      <c r="AJ93" s="44" t="n"/>
      <c r="AL93" s="35" t="n"/>
      <c r="AM93" s="35" t="n"/>
      <c r="AN93" s="35" t="n"/>
    </row>
    <row r="94">
      <c r="A94" s="27" t="n"/>
      <c r="B94" s="28" t="n"/>
      <c r="C94" s="28" t="n"/>
      <c r="D94" s="28" t="n"/>
      <c r="E94" s="45" t="n"/>
      <c r="F94" s="46" t="n"/>
      <c r="G94" s="46" t="n"/>
      <c r="H94" s="46" t="n"/>
      <c r="I94" s="46" t="n"/>
      <c r="J94" s="40" t="n"/>
      <c r="L94" s="45" t="n"/>
      <c r="M94" s="45" t="n"/>
      <c r="N94" s="45" t="n"/>
      <c r="O94" s="45" t="n"/>
      <c r="P94" s="31" t="n"/>
      <c r="Q94" s="46" t="n"/>
      <c r="R94" s="46" t="n"/>
      <c r="S94" s="46" t="n"/>
      <c r="T94" s="42" t="n"/>
      <c r="V94" s="45" t="n"/>
      <c r="W94" s="45" t="n"/>
      <c r="X94" s="45" t="n"/>
      <c r="Y94" s="31" t="n"/>
      <c r="Z94" s="46" t="n"/>
      <c r="AA94" s="46" t="n"/>
      <c r="AB94" s="46" t="n"/>
      <c r="AC94" s="42" t="n"/>
      <c r="AE94" s="32" t="n"/>
      <c r="AF94" s="32" t="n"/>
      <c r="AG94" s="33" t="n"/>
      <c r="AH94" s="43" t="n"/>
      <c r="AI94" s="43" t="n"/>
      <c r="AJ94" s="44" t="n"/>
      <c r="AL94" s="35" t="n"/>
      <c r="AM94" s="35" t="n"/>
      <c r="AN94" s="35" t="n"/>
    </row>
    <row r="95">
      <c r="A95" s="27" t="n"/>
      <c r="B95" s="28" t="n"/>
      <c r="C95" s="28" t="n"/>
      <c r="D95" s="28" t="n"/>
      <c r="E95" s="45" t="n"/>
      <c r="F95" s="46" t="n"/>
      <c r="G95" s="46" t="n"/>
      <c r="H95" s="46" t="n"/>
      <c r="I95" s="46" t="n"/>
      <c r="J95" s="40" t="n"/>
      <c r="L95" s="45" t="n"/>
      <c r="M95" s="45" t="n"/>
      <c r="N95" s="45" t="n"/>
      <c r="O95" s="45" t="n"/>
      <c r="P95" s="31" t="n"/>
      <c r="Q95" s="46" t="n"/>
      <c r="R95" s="46" t="n"/>
      <c r="S95" s="46" t="n"/>
      <c r="T95" s="42" t="n"/>
      <c r="V95" s="45" t="n"/>
      <c r="W95" s="45" t="n"/>
      <c r="X95" s="45" t="n"/>
      <c r="Y95" s="31" t="n"/>
      <c r="Z95" s="46" t="n"/>
      <c r="AA95" s="46" t="n"/>
      <c r="AB95" s="46" t="n"/>
      <c r="AC95" s="42" t="n"/>
      <c r="AE95" s="32" t="n"/>
      <c r="AF95" s="32" t="n"/>
      <c r="AG95" s="33" t="n"/>
      <c r="AH95" s="43" t="n"/>
      <c r="AI95" s="43" t="n"/>
      <c r="AJ95" s="44" t="n"/>
      <c r="AL95" s="35" t="n"/>
      <c r="AM95" s="35" t="n"/>
      <c r="AN95" s="35" t="n"/>
    </row>
    <row r="96">
      <c r="A96" s="27" t="n"/>
      <c r="B96" s="28" t="n"/>
      <c r="C96" s="28" t="n"/>
      <c r="D96" s="28" t="n"/>
      <c r="E96" s="45" t="n"/>
      <c r="F96" s="46" t="n"/>
      <c r="G96" s="46" t="n"/>
      <c r="H96" s="46" t="n"/>
      <c r="I96" s="46" t="n"/>
      <c r="J96" s="40" t="n"/>
      <c r="L96" s="45" t="n"/>
      <c r="M96" s="45" t="n"/>
      <c r="N96" s="45" t="n"/>
      <c r="O96" s="45" t="n"/>
      <c r="P96" s="31" t="n"/>
      <c r="Q96" s="46" t="n"/>
      <c r="R96" s="46" t="n"/>
      <c r="S96" s="46" t="n"/>
      <c r="T96" s="42" t="n"/>
      <c r="V96" s="45" t="n"/>
      <c r="W96" s="45" t="n"/>
      <c r="X96" s="45" t="n"/>
      <c r="Y96" s="31" t="n"/>
      <c r="Z96" s="46" t="n"/>
      <c r="AA96" s="46" t="n"/>
      <c r="AB96" s="46" t="n"/>
      <c r="AC96" s="42" t="n"/>
      <c r="AE96" s="32" t="n"/>
      <c r="AF96" s="32" t="n"/>
      <c r="AG96" s="33" t="n"/>
      <c r="AH96" s="43" t="n"/>
      <c r="AI96" s="43" t="n"/>
      <c r="AJ96" s="44" t="n"/>
      <c r="AL96" s="35" t="n"/>
      <c r="AM96" s="35" t="n"/>
      <c r="AN96" s="35" t="n"/>
    </row>
    <row r="97">
      <c r="A97" s="27" t="n"/>
      <c r="B97" s="28" t="n"/>
      <c r="C97" s="28" t="n"/>
      <c r="D97" s="28" t="n"/>
      <c r="E97" s="45" t="n"/>
      <c r="F97" s="46" t="n"/>
      <c r="G97" s="46" t="n"/>
      <c r="H97" s="46" t="n"/>
      <c r="I97" s="46" t="n"/>
      <c r="J97" s="40" t="n"/>
      <c r="L97" s="45" t="n"/>
      <c r="M97" s="45" t="n"/>
      <c r="N97" s="45" t="n"/>
      <c r="O97" s="45" t="n"/>
      <c r="P97" s="31" t="n"/>
      <c r="Q97" s="46" t="n"/>
      <c r="R97" s="46" t="n"/>
      <c r="S97" s="46" t="n"/>
      <c r="T97" s="42" t="n"/>
      <c r="V97" s="45" t="n"/>
      <c r="W97" s="45" t="n"/>
      <c r="X97" s="45" t="n"/>
      <c r="Y97" s="31" t="n"/>
      <c r="Z97" s="46" t="n"/>
      <c r="AA97" s="46" t="n"/>
      <c r="AB97" s="46" t="n"/>
      <c r="AC97" s="42" t="n"/>
      <c r="AE97" s="32" t="n"/>
      <c r="AF97" s="32" t="n"/>
      <c r="AG97" s="33" t="n"/>
      <c r="AH97" s="43" t="n"/>
      <c r="AI97" s="43" t="n"/>
      <c r="AJ97" s="44" t="n"/>
      <c r="AL97" s="35" t="n"/>
      <c r="AM97" s="35" t="n"/>
      <c r="AN97" s="35" t="n"/>
    </row>
    <row r="98">
      <c r="A98" s="27" t="n"/>
      <c r="B98" s="28" t="n"/>
      <c r="C98" s="28" t="n"/>
      <c r="D98" s="28" t="n"/>
      <c r="E98" s="45" t="n"/>
      <c r="F98" s="46" t="n"/>
      <c r="G98" s="46" t="n"/>
      <c r="H98" s="46" t="n"/>
      <c r="I98" s="46" t="n"/>
      <c r="J98" s="40" t="n"/>
      <c r="L98" s="45" t="n"/>
      <c r="M98" s="45" t="n"/>
      <c r="N98" s="45" t="n"/>
      <c r="O98" s="45" t="n"/>
      <c r="P98" s="31" t="n"/>
      <c r="Q98" s="46" t="n"/>
      <c r="R98" s="46" t="n"/>
      <c r="S98" s="46" t="n"/>
      <c r="T98" s="42" t="n"/>
      <c r="V98" s="45" t="n"/>
      <c r="W98" s="45" t="n"/>
      <c r="X98" s="45" t="n"/>
      <c r="Y98" s="31" t="n"/>
      <c r="Z98" s="46" t="n"/>
      <c r="AA98" s="46" t="n"/>
      <c r="AB98" s="46" t="n"/>
      <c r="AC98" s="42" t="n"/>
      <c r="AE98" s="32" t="n"/>
      <c r="AF98" s="32" t="n"/>
      <c r="AG98" s="33" t="n"/>
      <c r="AH98" s="43" t="n"/>
      <c r="AI98" s="43" t="n"/>
      <c r="AJ98" s="44" t="n"/>
      <c r="AL98" s="35" t="n"/>
      <c r="AM98" s="35" t="n"/>
      <c r="AN98" s="35" t="n"/>
    </row>
    <row r="99">
      <c r="A99" s="27" t="n"/>
      <c r="B99" s="28" t="n"/>
      <c r="C99" s="28" t="n"/>
      <c r="D99" s="28" t="n"/>
      <c r="E99" s="45" t="n"/>
      <c r="F99" s="46" t="n"/>
      <c r="G99" s="46" t="n"/>
      <c r="H99" s="46" t="n"/>
      <c r="I99" s="46" t="n"/>
      <c r="J99" s="40" t="n"/>
      <c r="L99" s="45" t="n"/>
      <c r="M99" s="45" t="n"/>
      <c r="N99" s="45" t="n"/>
      <c r="O99" s="45" t="n"/>
      <c r="P99" s="31" t="n"/>
      <c r="Q99" s="46" t="n"/>
      <c r="R99" s="46" t="n"/>
      <c r="S99" s="46" t="n"/>
      <c r="T99" s="42" t="n"/>
      <c r="V99" s="45" t="n"/>
      <c r="W99" s="45" t="n"/>
      <c r="X99" s="45" t="n"/>
      <c r="Y99" s="31" t="n"/>
      <c r="Z99" s="46" t="n"/>
      <c r="AA99" s="46" t="n"/>
      <c r="AB99" s="46" t="n"/>
      <c r="AC99" s="42" t="n"/>
      <c r="AE99" s="32" t="n"/>
      <c r="AF99" s="32" t="n"/>
      <c r="AG99" s="33" t="n"/>
      <c r="AH99" s="43" t="n"/>
      <c r="AI99" s="43" t="n"/>
      <c r="AJ99" s="44" t="n"/>
      <c r="AL99" s="35" t="n"/>
      <c r="AM99" s="35" t="n"/>
      <c r="AN99" s="35" t="n"/>
    </row>
    <row r="100">
      <c r="A100" s="27" t="n"/>
      <c r="B100" s="28" t="n"/>
      <c r="C100" s="28" t="n"/>
      <c r="D100" s="28" t="n"/>
      <c r="E100" s="45" t="n"/>
      <c r="F100" s="46" t="n"/>
      <c r="G100" s="46" t="n"/>
      <c r="H100" s="46" t="n"/>
      <c r="I100" s="46" t="n"/>
      <c r="J100" s="40" t="n"/>
      <c r="L100" s="45" t="n"/>
      <c r="M100" s="45" t="n"/>
      <c r="N100" s="45" t="n"/>
      <c r="O100" s="45" t="n"/>
      <c r="P100" s="31" t="n"/>
      <c r="Q100" s="46" t="n"/>
      <c r="R100" s="46" t="n"/>
      <c r="S100" s="46" t="n"/>
      <c r="T100" s="42" t="n"/>
      <c r="V100" s="45" t="n"/>
      <c r="W100" s="45" t="n"/>
      <c r="X100" s="45" t="n"/>
      <c r="Y100" s="31" t="n"/>
      <c r="Z100" s="46" t="n"/>
      <c r="AA100" s="46" t="n"/>
      <c r="AB100" s="46" t="n"/>
      <c r="AC100" s="42" t="n"/>
      <c r="AE100" s="32" t="n"/>
      <c r="AF100" s="32" t="n"/>
      <c r="AG100" s="33" t="n"/>
      <c r="AH100" s="43" t="n"/>
      <c r="AI100" s="43" t="n"/>
      <c r="AJ100" s="44" t="n"/>
      <c r="AL100" s="35" t="n"/>
      <c r="AM100" s="35" t="n"/>
      <c r="AN100" s="35" t="n"/>
    </row>
    <row r="101">
      <c r="A101" s="27" t="n"/>
      <c r="B101" s="28" t="n"/>
      <c r="C101" s="28" t="n"/>
      <c r="D101" s="28" t="n"/>
      <c r="E101" s="45" t="n"/>
      <c r="F101" s="46" t="n"/>
      <c r="G101" s="46" t="n"/>
      <c r="H101" s="46" t="n"/>
      <c r="I101" s="46" t="n"/>
      <c r="J101" s="40" t="n"/>
      <c r="L101" s="45" t="n"/>
      <c r="M101" s="45" t="n"/>
      <c r="N101" s="45" t="n"/>
      <c r="O101" s="45" t="n"/>
      <c r="P101" s="31" t="n"/>
      <c r="Q101" s="46" t="n"/>
      <c r="R101" s="46" t="n"/>
      <c r="S101" s="46" t="n"/>
      <c r="T101" s="42" t="n"/>
      <c r="V101" s="45" t="n"/>
      <c r="W101" s="45" t="n"/>
      <c r="X101" s="45" t="n"/>
      <c r="Y101" s="31" t="n"/>
      <c r="Z101" s="46" t="n"/>
      <c r="AA101" s="46" t="n"/>
      <c r="AB101" s="46" t="n"/>
      <c r="AC101" s="42" t="n"/>
      <c r="AE101" s="32" t="n"/>
      <c r="AF101" s="32" t="n"/>
      <c r="AG101" s="33" t="n"/>
      <c r="AH101" s="43" t="n"/>
      <c r="AI101" s="43" t="n"/>
      <c r="AJ101" s="44" t="n"/>
      <c r="AL101" s="35" t="n"/>
      <c r="AM101" s="35" t="n"/>
      <c r="AN101" s="35" t="n"/>
    </row>
    <row r="102">
      <c r="A102" s="27" t="n"/>
      <c r="B102" s="28" t="n"/>
      <c r="C102" s="28" t="n"/>
      <c r="D102" s="28" t="n"/>
      <c r="E102" s="45" t="n"/>
      <c r="F102" s="46" t="n"/>
      <c r="G102" s="46" t="n"/>
      <c r="H102" s="46" t="n"/>
      <c r="I102" s="46" t="n"/>
      <c r="J102" s="40" t="n"/>
      <c r="L102" s="45" t="n"/>
      <c r="M102" s="45" t="n"/>
      <c r="N102" s="45" t="n"/>
      <c r="O102" s="45" t="n"/>
      <c r="P102" s="31" t="n"/>
      <c r="Q102" s="46" t="n"/>
      <c r="R102" s="46" t="n"/>
      <c r="S102" s="46" t="n"/>
      <c r="T102" s="42" t="n"/>
      <c r="V102" s="45" t="n"/>
      <c r="W102" s="45" t="n"/>
      <c r="X102" s="45" t="n"/>
      <c r="Y102" s="31" t="n"/>
      <c r="Z102" s="46" t="n"/>
      <c r="AA102" s="46" t="n"/>
      <c r="AB102" s="46" t="n"/>
      <c r="AC102" s="42" t="n"/>
      <c r="AE102" s="32" t="n"/>
      <c r="AF102" s="32" t="n"/>
      <c r="AG102" s="33" t="n"/>
      <c r="AH102" s="43" t="n"/>
      <c r="AI102" s="43" t="n"/>
      <c r="AJ102" s="44" t="n"/>
      <c r="AL102" s="35" t="n"/>
      <c r="AM102" s="35" t="n"/>
      <c r="AN102" s="35" t="n"/>
    </row>
    <row r="103">
      <c r="A103" s="27" t="n"/>
      <c r="B103" s="28" t="n"/>
      <c r="C103" s="28" t="n"/>
      <c r="D103" s="28" t="n"/>
      <c r="E103" s="45" t="n"/>
      <c r="F103" s="46" t="n"/>
      <c r="G103" s="46" t="n"/>
      <c r="H103" s="46" t="n"/>
      <c r="I103" s="46" t="n"/>
      <c r="J103" s="40" t="n"/>
      <c r="L103" s="45" t="n"/>
      <c r="M103" s="45" t="n"/>
      <c r="N103" s="45" t="n"/>
      <c r="O103" s="45" t="n"/>
      <c r="P103" s="31" t="n"/>
      <c r="Q103" s="46" t="n"/>
      <c r="R103" s="46" t="n"/>
      <c r="S103" s="46" t="n"/>
      <c r="T103" s="42" t="n"/>
      <c r="V103" s="45" t="n"/>
      <c r="W103" s="45" t="n"/>
      <c r="X103" s="45" t="n"/>
      <c r="Y103" s="31" t="n"/>
      <c r="Z103" s="46" t="n"/>
      <c r="AA103" s="46" t="n"/>
      <c r="AB103" s="46" t="n"/>
      <c r="AC103" s="42" t="n"/>
      <c r="AE103" s="32" t="n"/>
      <c r="AF103" s="32" t="n"/>
      <c r="AG103" s="33" t="n"/>
      <c r="AH103" s="43" t="n"/>
      <c r="AI103" s="43" t="n"/>
      <c r="AJ103" s="44" t="n"/>
      <c r="AL103" s="35" t="n"/>
      <c r="AM103" s="35" t="n"/>
      <c r="AN103" s="35" t="n"/>
    </row>
    <row r="104">
      <c r="A104" s="27" t="n"/>
      <c r="B104" s="28" t="n"/>
      <c r="C104" s="28" t="n"/>
      <c r="D104" s="28" t="n"/>
      <c r="E104" s="45" t="n"/>
      <c r="F104" s="46" t="n"/>
      <c r="G104" s="46" t="n"/>
      <c r="H104" s="46" t="n"/>
      <c r="I104" s="46" t="n"/>
      <c r="J104" s="40" t="n"/>
      <c r="L104" s="45" t="n"/>
      <c r="M104" s="45" t="n"/>
      <c r="N104" s="45" t="n"/>
      <c r="O104" s="45" t="n"/>
      <c r="P104" s="31" t="n"/>
      <c r="Q104" s="46" t="n"/>
      <c r="R104" s="46" t="n"/>
      <c r="S104" s="46" t="n"/>
      <c r="T104" s="42" t="n"/>
      <c r="V104" s="45" t="n"/>
      <c r="W104" s="45" t="n"/>
      <c r="X104" s="45" t="n"/>
      <c r="Y104" s="31" t="n"/>
      <c r="Z104" s="46" t="n"/>
      <c r="AA104" s="46" t="n"/>
      <c r="AB104" s="46" t="n"/>
      <c r="AC104" s="42" t="n"/>
      <c r="AE104" s="32" t="n"/>
      <c r="AF104" s="32" t="n"/>
      <c r="AG104" s="33" t="n"/>
      <c r="AH104" s="43" t="n"/>
      <c r="AI104" s="43" t="n"/>
      <c r="AJ104" s="44" t="n"/>
      <c r="AL104" s="35" t="n"/>
      <c r="AM104" s="35" t="n"/>
      <c r="AN104" s="35" t="n"/>
    </row>
    <row r="105">
      <c r="A105" s="27" t="n"/>
      <c r="B105" s="28" t="n"/>
      <c r="C105" s="28" t="n"/>
      <c r="D105" s="28" t="n"/>
      <c r="E105" s="45" t="n"/>
      <c r="F105" s="46" t="n"/>
      <c r="G105" s="46" t="n"/>
      <c r="H105" s="46" t="n"/>
      <c r="I105" s="46" t="n"/>
      <c r="J105" s="40" t="n"/>
      <c r="L105" s="45" t="n"/>
      <c r="M105" s="45" t="n"/>
      <c r="N105" s="45" t="n"/>
      <c r="O105" s="45" t="n"/>
      <c r="P105" s="31" t="n"/>
      <c r="Q105" s="46" t="n"/>
      <c r="R105" s="46" t="n"/>
      <c r="S105" s="46" t="n"/>
      <c r="T105" s="42" t="n"/>
      <c r="V105" s="45" t="n"/>
      <c r="W105" s="45" t="n"/>
      <c r="X105" s="45" t="n"/>
      <c r="Y105" s="31" t="n"/>
      <c r="Z105" s="46" t="n"/>
      <c r="AA105" s="46" t="n"/>
      <c r="AB105" s="46" t="n"/>
      <c r="AC105" s="42" t="n"/>
      <c r="AE105" s="32" t="n"/>
      <c r="AF105" s="32" t="n"/>
      <c r="AG105" s="33" t="n"/>
      <c r="AH105" s="43" t="n"/>
      <c r="AI105" s="43" t="n"/>
      <c r="AJ105" s="44" t="n"/>
      <c r="AL105" s="35" t="n"/>
      <c r="AM105" s="35" t="n"/>
      <c r="AN105" s="35" t="n"/>
    </row>
    <row r="106">
      <c r="A106" s="27" t="n"/>
      <c r="B106" s="28" t="n"/>
      <c r="C106" s="28" t="n"/>
      <c r="D106" s="28" t="n"/>
      <c r="E106" s="45" t="n"/>
      <c r="F106" s="46" t="n"/>
      <c r="G106" s="46" t="n"/>
      <c r="H106" s="46" t="n"/>
      <c r="I106" s="46" t="n"/>
      <c r="J106" s="40" t="n"/>
      <c r="L106" s="45" t="n"/>
      <c r="M106" s="45" t="n"/>
      <c r="N106" s="45" t="n"/>
      <c r="O106" s="45" t="n"/>
      <c r="P106" s="31" t="n"/>
      <c r="Q106" s="46" t="n"/>
      <c r="R106" s="46" t="n"/>
      <c r="S106" s="46" t="n"/>
      <c r="T106" s="42" t="n"/>
      <c r="V106" s="45" t="n"/>
      <c r="W106" s="45" t="n"/>
      <c r="X106" s="45" t="n"/>
      <c r="Y106" s="31" t="n"/>
      <c r="Z106" s="46" t="n"/>
      <c r="AA106" s="46" t="n"/>
      <c r="AB106" s="46" t="n"/>
      <c r="AC106" s="42" t="n"/>
      <c r="AE106" s="32" t="n"/>
      <c r="AF106" s="32" t="n"/>
      <c r="AG106" s="33" t="n"/>
      <c r="AH106" s="43" t="n"/>
      <c r="AI106" s="43" t="n"/>
      <c r="AJ106" s="44" t="n"/>
      <c r="AL106" s="35" t="n"/>
      <c r="AM106" s="35" t="n"/>
      <c r="AN106" s="35" t="n"/>
    </row>
    <row r="107">
      <c r="A107" s="27" t="n"/>
      <c r="B107" s="28" t="n"/>
      <c r="C107" s="28" t="n"/>
      <c r="D107" s="28" t="n"/>
      <c r="E107" s="45" t="n"/>
      <c r="F107" s="46" t="n"/>
      <c r="G107" s="46" t="n"/>
      <c r="H107" s="46" t="n"/>
      <c r="I107" s="46" t="n"/>
      <c r="J107" s="40" t="n"/>
      <c r="L107" s="45" t="n"/>
      <c r="M107" s="45" t="n"/>
      <c r="N107" s="45" t="n"/>
      <c r="O107" s="45" t="n"/>
      <c r="P107" s="31" t="n"/>
      <c r="Q107" s="46" t="n"/>
      <c r="R107" s="46" t="n"/>
      <c r="S107" s="46" t="n"/>
      <c r="T107" s="42" t="n"/>
      <c r="V107" s="45" t="n"/>
      <c r="W107" s="45" t="n"/>
      <c r="X107" s="45" t="n"/>
      <c r="Y107" s="31" t="n"/>
      <c r="Z107" s="46" t="n"/>
      <c r="AA107" s="46" t="n"/>
      <c r="AB107" s="46" t="n"/>
      <c r="AC107" s="42" t="n"/>
      <c r="AE107" s="32" t="n"/>
      <c r="AF107" s="32" t="n"/>
      <c r="AG107" s="33" t="n"/>
      <c r="AH107" s="43" t="n"/>
      <c r="AI107" s="43" t="n"/>
      <c r="AJ107" s="44" t="n"/>
      <c r="AL107" s="35" t="n"/>
      <c r="AM107" s="35" t="n"/>
      <c r="AN107" s="35" t="n"/>
    </row>
    <row r="108">
      <c r="A108" s="27" t="n"/>
      <c r="B108" s="28" t="n"/>
      <c r="C108" s="28" t="n"/>
      <c r="D108" s="28" t="n"/>
      <c r="E108" s="45" t="n"/>
      <c r="F108" s="46" t="n"/>
      <c r="G108" s="46" t="n"/>
      <c r="H108" s="46" t="n"/>
      <c r="I108" s="46" t="n"/>
      <c r="J108" s="40" t="n"/>
      <c r="L108" s="45" t="n"/>
      <c r="M108" s="45" t="n"/>
      <c r="N108" s="45" t="n"/>
      <c r="O108" s="45" t="n"/>
      <c r="P108" s="31" t="n"/>
      <c r="Q108" s="46" t="n"/>
      <c r="R108" s="46" t="n"/>
      <c r="S108" s="46" t="n"/>
      <c r="T108" s="42" t="n"/>
      <c r="V108" s="45" t="n"/>
      <c r="W108" s="45" t="n"/>
      <c r="X108" s="45" t="n"/>
      <c r="Y108" s="31" t="n"/>
      <c r="Z108" s="46" t="n"/>
      <c r="AA108" s="46" t="n"/>
      <c r="AB108" s="46" t="n"/>
      <c r="AC108" s="42" t="n"/>
      <c r="AE108" s="32" t="n"/>
      <c r="AF108" s="32" t="n"/>
      <c r="AG108" s="33" t="n"/>
      <c r="AH108" s="43" t="n"/>
      <c r="AI108" s="43" t="n"/>
      <c r="AJ108" s="44" t="n"/>
      <c r="AL108" s="35" t="n"/>
      <c r="AM108" s="35" t="n"/>
      <c r="AN108" s="35" t="n"/>
    </row>
    <row r="109">
      <c r="A109" s="27" t="n"/>
      <c r="B109" s="28" t="n"/>
      <c r="C109" s="28" t="n"/>
      <c r="D109" s="28" t="n"/>
      <c r="E109" s="45" t="n"/>
      <c r="F109" s="46" t="n"/>
      <c r="G109" s="46" t="n"/>
      <c r="H109" s="46" t="n"/>
      <c r="I109" s="46" t="n"/>
      <c r="J109" s="40" t="n"/>
      <c r="L109" s="45" t="n"/>
      <c r="M109" s="45" t="n"/>
      <c r="N109" s="45" t="n"/>
      <c r="O109" s="45" t="n"/>
      <c r="P109" s="31" t="n"/>
      <c r="Q109" s="46" t="n"/>
      <c r="R109" s="46" t="n"/>
      <c r="S109" s="46" t="n"/>
      <c r="T109" s="42" t="n"/>
      <c r="V109" s="45" t="n"/>
      <c r="W109" s="45" t="n"/>
      <c r="X109" s="45" t="n"/>
      <c r="Y109" s="31" t="n"/>
      <c r="Z109" s="46" t="n"/>
      <c r="AA109" s="46" t="n"/>
      <c r="AB109" s="46" t="n"/>
      <c r="AC109" s="42" t="n"/>
      <c r="AE109" s="32" t="n"/>
      <c r="AF109" s="32" t="n"/>
      <c r="AG109" s="33" t="n"/>
      <c r="AH109" s="43" t="n"/>
      <c r="AI109" s="43" t="n"/>
      <c r="AJ109" s="44" t="n"/>
      <c r="AL109" s="35" t="n"/>
      <c r="AM109" s="35" t="n"/>
      <c r="AN109" s="35" t="n"/>
    </row>
    <row r="110">
      <c r="A110" s="27" t="n"/>
      <c r="B110" s="28" t="n"/>
      <c r="C110" s="28" t="n"/>
      <c r="D110" s="28" t="n"/>
      <c r="E110" s="45" t="n"/>
      <c r="F110" s="46" t="n"/>
      <c r="G110" s="46" t="n"/>
      <c r="H110" s="46" t="n"/>
      <c r="I110" s="46" t="n"/>
      <c r="J110" s="40" t="n"/>
      <c r="L110" s="45" t="n"/>
      <c r="M110" s="45" t="n"/>
      <c r="N110" s="45" t="n"/>
      <c r="O110" s="45" t="n"/>
      <c r="P110" s="31" t="n"/>
      <c r="Q110" s="46" t="n"/>
      <c r="R110" s="46" t="n"/>
      <c r="S110" s="46" t="n"/>
      <c r="T110" s="42" t="n"/>
      <c r="V110" s="45" t="n"/>
      <c r="W110" s="45" t="n"/>
      <c r="X110" s="45" t="n"/>
      <c r="Y110" s="31" t="n"/>
      <c r="Z110" s="46" t="n"/>
      <c r="AA110" s="46" t="n"/>
      <c r="AB110" s="46" t="n"/>
      <c r="AC110" s="42" t="n"/>
      <c r="AE110" s="32" t="n"/>
      <c r="AF110" s="32" t="n"/>
      <c r="AG110" s="33" t="n"/>
      <c r="AH110" s="43" t="n"/>
      <c r="AI110" s="43" t="n"/>
      <c r="AJ110" s="44" t="n"/>
      <c r="AL110" s="35" t="n"/>
      <c r="AM110" s="35" t="n"/>
      <c r="AN110" s="35" t="n"/>
    </row>
    <row r="111">
      <c r="A111" s="27" t="n"/>
      <c r="B111" s="28" t="n"/>
      <c r="C111" s="28" t="n"/>
      <c r="D111" s="28" t="n"/>
      <c r="E111" s="45" t="n"/>
      <c r="F111" s="46" t="n"/>
      <c r="G111" s="46" t="n"/>
      <c r="H111" s="46" t="n"/>
      <c r="I111" s="46" t="n"/>
      <c r="J111" s="40" t="n"/>
      <c r="L111" s="45" t="n"/>
      <c r="M111" s="45" t="n"/>
      <c r="N111" s="45" t="n"/>
      <c r="O111" s="45" t="n"/>
      <c r="P111" s="31" t="n"/>
      <c r="Q111" s="46" t="n"/>
      <c r="R111" s="46" t="n"/>
      <c r="S111" s="46" t="n"/>
      <c r="T111" s="42" t="n"/>
      <c r="V111" s="45" t="n"/>
      <c r="W111" s="45" t="n"/>
      <c r="X111" s="45" t="n"/>
      <c r="Y111" s="31" t="n"/>
      <c r="Z111" s="46" t="n"/>
      <c r="AA111" s="46" t="n"/>
      <c r="AB111" s="46" t="n"/>
      <c r="AC111" s="42" t="n"/>
      <c r="AE111" s="32" t="n"/>
      <c r="AF111" s="32" t="n"/>
      <c r="AG111" s="33" t="n"/>
      <c r="AH111" s="43" t="n"/>
      <c r="AI111" s="43" t="n"/>
      <c r="AJ111" s="44" t="n"/>
      <c r="AL111" s="35" t="n"/>
      <c r="AM111" s="35" t="n"/>
      <c r="AN111" s="35" t="n"/>
    </row>
    <row r="112">
      <c r="A112" s="27" t="n"/>
      <c r="B112" s="28" t="n"/>
      <c r="C112" s="28" t="n"/>
      <c r="D112" s="28" t="n"/>
      <c r="E112" s="45" t="n"/>
      <c r="F112" s="46" t="n"/>
      <c r="G112" s="46" t="n"/>
      <c r="H112" s="46" t="n"/>
      <c r="I112" s="46" t="n"/>
      <c r="J112" s="40" t="n"/>
      <c r="L112" s="45" t="n"/>
      <c r="M112" s="45" t="n"/>
      <c r="N112" s="45" t="n"/>
      <c r="O112" s="45" t="n"/>
      <c r="P112" s="31" t="n"/>
      <c r="Q112" s="46" t="n"/>
      <c r="R112" s="46" t="n"/>
      <c r="S112" s="46" t="n"/>
      <c r="T112" s="42" t="n"/>
      <c r="V112" s="45" t="n"/>
      <c r="W112" s="45" t="n"/>
      <c r="X112" s="45" t="n"/>
      <c r="Y112" s="31" t="n"/>
      <c r="Z112" s="46" t="n"/>
      <c r="AA112" s="46" t="n"/>
      <c r="AB112" s="46" t="n"/>
      <c r="AC112" s="42" t="n"/>
      <c r="AE112" s="32" t="n"/>
      <c r="AF112" s="32" t="n"/>
      <c r="AG112" s="33" t="n"/>
      <c r="AH112" s="43" t="n"/>
      <c r="AI112" s="43" t="n"/>
      <c r="AJ112" s="44" t="n"/>
      <c r="AL112" s="35" t="n"/>
      <c r="AM112" s="35" t="n"/>
      <c r="AN112" s="35" t="n"/>
    </row>
    <row r="113">
      <c r="A113" s="27" t="n"/>
      <c r="B113" s="28" t="n"/>
      <c r="C113" s="28" t="n"/>
      <c r="D113" s="28" t="n"/>
      <c r="E113" s="45" t="n"/>
      <c r="F113" s="46" t="n"/>
      <c r="G113" s="46" t="n"/>
      <c r="H113" s="46" t="n"/>
      <c r="I113" s="46" t="n"/>
      <c r="J113" s="40" t="n"/>
      <c r="L113" s="45" t="n"/>
      <c r="M113" s="45" t="n"/>
      <c r="N113" s="45" t="n"/>
      <c r="O113" s="45" t="n"/>
      <c r="P113" s="31" t="n"/>
      <c r="Q113" s="46" t="n"/>
      <c r="R113" s="46" t="n"/>
      <c r="S113" s="46" t="n"/>
      <c r="T113" s="42" t="n"/>
      <c r="V113" s="45" t="n"/>
      <c r="W113" s="45" t="n"/>
      <c r="X113" s="45" t="n"/>
      <c r="Y113" s="31" t="n"/>
      <c r="Z113" s="46" t="n"/>
      <c r="AA113" s="46" t="n"/>
      <c r="AB113" s="46" t="n"/>
      <c r="AC113" s="42" t="n"/>
      <c r="AE113" s="32" t="n"/>
      <c r="AF113" s="32" t="n"/>
      <c r="AG113" s="33" t="n"/>
      <c r="AH113" s="43" t="n"/>
      <c r="AI113" s="43" t="n"/>
      <c r="AJ113" s="44" t="n"/>
      <c r="AL113" s="35" t="n"/>
      <c r="AM113" s="35" t="n"/>
      <c r="AN113" s="35" t="n"/>
    </row>
    <row r="114">
      <c r="A114" s="27" t="n"/>
      <c r="B114" s="28" t="n"/>
      <c r="C114" s="28" t="n"/>
      <c r="D114" s="28" t="n"/>
      <c r="E114" s="45" t="n"/>
      <c r="F114" s="46" t="n"/>
      <c r="G114" s="46" t="n"/>
      <c r="H114" s="46" t="n"/>
      <c r="I114" s="46" t="n"/>
      <c r="J114" s="40" t="n"/>
      <c r="L114" s="45" t="n"/>
      <c r="M114" s="45" t="n"/>
      <c r="N114" s="45" t="n"/>
      <c r="O114" s="45" t="n"/>
      <c r="P114" s="31" t="n"/>
      <c r="Q114" s="46" t="n"/>
      <c r="R114" s="46" t="n"/>
      <c r="S114" s="46" t="n"/>
      <c r="T114" s="42" t="n"/>
      <c r="V114" s="45" t="n"/>
      <c r="W114" s="45" t="n"/>
      <c r="X114" s="45" t="n"/>
      <c r="Y114" s="31" t="n"/>
      <c r="Z114" s="46" t="n"/>
      <c r="AA114" s="46" t="n"/>
      <c r="AB114" s="46" t="n"/>
      <c r="AC114" s="42" t="n"/>
      <c r="AE114" s="32" t="n"/>
      <c r="AF114" s="32" t="n"/>
      <c r="AG114" s="33" t="n"/>
      <c r="AH114" s="43" t="n"/>
      <c r="AI114" s="43" t="n"/>
      <c r="AJ114" s="44" t="n"/>
      <c r="AL114" s="35" t="n"/>
      <c r="AM114" s="35" t="n"/>
      <c r="AN114" s="35" t="n"/>
    </row>
    <row r="115">
      <c r="A115" s="27" t="n"/>
      <c r="B115" s="28" t="n"/>
      <c r="C115" s="28" t="n"/>
      <c r="D115" s="28" t="n"/>
      <c r="E115" s="45" t="n"/>
      <c r="F115" s="46" t="n"/>
      <c r="G115" s="46" t="n"/>
      <c r="H115" s="46" t="n"/>
      <c r="I115" s="46" t="n"/>
      <c r="J115" s="40" t="n"/>
      <c r="L115" s="45" t="n"/>
      <c r="M115" s="45" t="n"/>
      <c r="N115" s="45" t="n"/>
      <c r="O115" s="45" t="n"/>
      <c r="P115" s="31" t="n"/>
      <c r="Q115" s="46" t="n"/>
      <c r="R115" s="46" t="n"/>
      <c r="S115" s="46" t="n"/>
      <c r="T115" s="42" t="n"/>
      <c r="V115" s="45" t="n"/>
      <c r="W115" s="45" t="n"/>
      <c r="X115" s="45" t="n"/>
      <c r="Y115" s="31" t="n"/>
      <c r="Z115" s="46" t="n"/>
      <c r="AA115" s="46" t="n"/>
      <c r="AB115" s="46" t="n"/>
      <c r="AC115" s="42" t="n"/>
      <c r="AE115" s="32" t="n"/>
      <c r="AF115" s="32" t="n"/>
      <c r="AG115" s="33" t="n"/>
      <c r="AH115" s="43" t="n"/>
      <c r="AI115" s="43" t="n"/>
      <c r="AJ115" s="44" t="n"/>
      <c r="AL115" s="35" t="n"/>
      <c r="AM115" s="35" t="n"/>
      <c r="AN115" s="35" t="n"/>
    </row>
    <row r="116">
      <c r="A116" s="27" t="n"/>
      <c r="B116" s="28" t="n"/>
      <c r="C116" s="28" t="n"/>
      <c r="D116" s="28" t="n"/>
      <c r="E116" s="45" t="n"/>
      <c r="F116" s="46" t="n"/>
      <c r="G116" s="46" t="n"/>
      <c r="H116" s="46" t="n"/>
      <c r="I116" s="46" t="n"/>
      <c r="J116" s="40" t="n"/>
      <c r="L116" s="45" t="n"/>
      <c r="M116" s="45" t="n"/>
      <c r="N116" s="45" t="n"/>
      <c r="O116" s="45" t="n"/>
      <c r="P116" s="31" t="n"/>
      <c r="Q116" s="46" t="n"/>
      <c r="R116" s="46" t="n"/>
      <c r="S116" s="46" t="n"/>
      <c r="T116" s="42" t="n"/>
      <c r="V116" s="45" t="n"/>
      <c r="W116" s="45" t="n"/>
      <c r="X116" s="45" t="n"/>
      <c r="Y116" s="31" t="n"/>
      <c r="Z116" s="46" t="n"/>
      <c r="AA116" s="46" t="n"/>
      <c r="AB116" s="46" t="n"/>
      <c r="AC116" s="42" t="n"/>
      <c r="AE116" s="32" t="n"/>
      <c r="AF116" s="32" t="n"/>
      <c r="AG116" s="33" t="n"/>
      <c r="AH116" s="43" t="n"/>
      <c r="AI116" s="43" t="n"/>
      <c r="AJ116" s="44" t="n"/>
      <c r="AL116" s="35" t="n"/>
      <c r="AM116" s="35" t="n"/>
      <c r="AN116" s="35" t="n"/>
    </row>
    <row r="117">
      <c r="A117" s="27" t="n"/>
      <c r="B117" s="28" t="n"/>
      <c r="C117" s="28" t="n"/>
      <c r="D117" s="28" t="n"/>
      <c r="E117" s="45" t="n"/>
      <c r="F117" s="46" t="n"/>
      <c r="G117" s="46" t="n"/>
      <c r="H117" s="46" t="n"/>
      <c r="I117" s="46" t="n"/>
      <c r="J117" s="40" t="n"/>
      <c r="L117" s="45" t="n"/>
      <c r="M117" s="45" t="n"/>
      <c r="N117" s="45" t="n"/>
      <c r="O117" s="45" t="n"/>
      <c r="P117" s="31" t="n"/>
      <c r="Q117" s="46" t="n"/>
      <c r="R117" s="46" t="n"/>
      <c r="S117" s="46" t="n"/>
      <c r="T117" s="42" t="n"/>
      <c r="V117" s="45" t="n"/>
      <c r="W117" s="45" t="n"/>
      <c r="X117" s="45" t="n"/>
      <c r="Y117" s="31" t="n"/>
      <c r="Z117" s="46" t="n"/>
      <c r="AA117" s="46" t="n"/>
      <c r="AB117" s="46" t="n"/>
      <c r="AC117" s="42" t="n"/>
      <c r="AE117" s="32" t="n"/>
      <c r="AF117" s="32" t="n"/>
      <c r="AG117" s="33" t="n"/>
      <c r="AH117" s="43" t="n"/>
      <c r="AI117" s="43" t="n"/>
      <c r="AJ117" s="44" t="n"/>
      <c r="AL117" s="35" t="n"/>
      <c r="AM117" s="35" t="n"/>
      <c r="AN117" s="35" t="n"/>
    </row>
    <row r="118">
      <c r="A118" s="27" t="n"/>
      <c r="B118" s="28" t="n"/>
      <c r="C118" s="28" t="n"/>
      <c r="D118" s="28" t="n"/>
      <c r="E118" s="45" t="n"/>
      <c r="F118" s="46" t="n"/>
      <c r="G118" s="46" t="n"/>
      <c r="H118" s="46" t="n"/>
      <c r="I118" s="46" t="n"/>
      <c r="J118" s="40" t="n"/>
      <c r="L118" s="45" t="n"/>
      <c r="M118" s="45" t="n"/>
      <c r="N118" s="45" t="n"/>
      <c r="O118" s="45" t="n"/>
      <c r="P118" s="31" t="n"/>
      <c r="Q118" s="46" t="n"/>
      <c r="R118" s="46" t="n"/>
      <c r="S118" s="46" t="n"/>
      <c r="T118" s="42" t="n"/>
      <c r="V118" s="45" t="n"/>
      <c r="W118" s="45" t="n"/>
      <c r="X118" s="45" t="n"/>
      <c r="Y118" s="31" t="n"/>
      <c r="Z118" s="46" t="n"/>
      <c r="AA118" s="46" t="n"/>
      <c r="AB118" s="46" t="n"/>
      <c r="AC118" s="42" t="n"/>
      <c r="AE118" s="32" t="n"/>
      <c r="AF118" s="32" t="n"/>
      <c r="AG118" s="33" t="n"/>
      <c r="AH118" s="43" t="n"/>
      <c r="AI118" s="43" t="n"/>
      <c r="AJ118" s="44" t="n"/>
      <c r="AL118" s="35" t="n"/>
      <c r="AM118" s="35" t="n"/>
      <c r="AN118" s="35" t="n"/>
    </row>
    <row r="119">
      <c r="A119" s="27" t="n"/>
      <c r="B119" s="28" t="n"/>
      <c r="C119" s="28" t="n"/>
      <c r="D119" s="28" t="n"/>
      <c r="E119" s="45" t="n"/>
      <c r="F119" s="46" t="n"/>
      <c r="G119" s="46" t="n"/>
      <c r="H119" s="46" t="n"/>
      <c r="I119" s="46" t="n"/>
      <c r="J119" s="40" t="n"/>
      <c r="L119" s="45" t="n"/>
      <c r="M119" s="45" t="n"/>
      <c r="N119" s="45" t="n"/>
      <c r="O119" s="45" t="n"/>
      <c r="P119" s="31" t="n"/>
      <c r="Q119" s="46" t="n"/>
      <c r="R119" s="46" t="n"/>
      <c r="S119" s="46" t="n"/>
      <c r="T119" s="42" t="n"/>
      <c r="V119" s="45" t="n"/>
      <c r="W119" s="45" t="n"/>
      <c r="X119" s="45" t="n"/>
      <c r="Y119" s="31" t="n"/>
      <c r="Z119" s="46" t="n"/>
      <c r="AA119" s="46" t="n"/>
      <c r="AB119" s="46" t="n"/>
      <c r="AC119" s="42" t="n"/>
      <c r="AE119" s="32" t="n"/>
      <c r="AF119" s="32" t="n"/>
      <c r="AG119" s="33" t="n"/>
      <c r="AH119" s="43" t="n"/>
      <c r="AI119" s="43" t="n"/>
      <c r="AJ119" s="44" t="n"/>
      <c r="AL119" s="35" t="n"/>
      <c r="AM119" s="35" t="n"/>
      <c r="AN119" s="35" t="n"/>
    </row>
    <row r="120">
      <c r="A120" s="27" t="n"/>
      <c r="B120" s="28" t="n"/>
      <c r="C120" s="28" t="n"/>
      <c r="D120" s="28" t="n"/>
      <c r="E120" s="45" t="n"/>
      <c r="F120" s="46" t="n"/>
      <c r="G120" s="46" t="n"/>
      <c r="H120" s="46" t="n"/>
      <c r="I120" s="46" t="n"/>
      <c r="J120" s="40" t="n"/>
      <c r="L120" s="45" t="n"/>
      <c r="M120" s="45" t="n"/>
      <c r="N120" s="45" t="n"/>
      <c r="O120" s="45" t="n"/>
      <c r="P120" s="31" t="n"/>
      <c r="Q120" s="46" t="n"/>
      <c r="R120" s="46" t="n"/>
      <c r="S120" s="46" t="n"/>
      <c r="T120" s="42" t="n"/>
      <c r="V120" s="45" t="n"/>
      <c r="W120" s="45" t="n"/>
      <c r="X120" s="45" t="n"/>
      <c r="Y120" s="31" t="n"/>
      <c r="Z120" s="46" t="n"/>
      <c r="AA120" s="46" t="n"/>
      <c r="AB120" s="46" t="n"/>
      <c r="AC120" s="42" t="n"/>
      <c r="AE120" s="32" t="n"/>
      <c r="AF120" s="32" t="n"/>
      <c r="AG120" s="33" t="n"/>
      <c r="AH120" s="43" t="n"/>
      <c r="AI120" s="43" t="n"/>
      <c r="AJ120" s="44" t="n"/>
      <c r="AL120" s="35" t="n"/>
      <c r="AM120" s="35" t="n"/>
      <c r="AN120" s="35" t="n"/>
    </row>
    <row r="121">
      <c r="A121" s="27" t="n"/>
      <c r="B121" s="28" t="n"/>
      <c r="C121" s="28" t="n"/>
      <c r="D121" s="28" t="n"/>
      <c r="E121" s="45" t="n"/>
      <c r="F121" s="46" t="n"/>
      <c r="G121" s="46" t="n"/>
      <c r="H121" s="46" t="n"/>
      <c r="I121" s="46" t="n"/>
      <c r="J121" s="40" t="n"/>
      <c r="L121" s="45" t="n"/>
      <c r="M121" s="45" t="n"/>
      <c r="N121" s="45" t="n"/>
      <c r="O121" s="45" t="n"/>
      <c r="P121" s="31" t="n"/>
      <c r="Q121" s="46" t="n"/>
      <c r="R121" s="46" t="n"/>
      <c r="S121" s="46" t="n"/>
      <c r="T121" s="42" t="n"/>
      <c r="V121" s="45" t="n"/>
      <c r="W121" s="45" t="n"/>
      <c r="X121" s="45" t="n"/>
      <c r="Y121" s="31" t="n"/>
      <c r="Z121" s="46" t="n"/>
      <c r="AA121" s="46" t="n"/>
      <c r="AB121" s="46" t="n"/>
      <c r="AC121" s="42" t="n"/>
      <c r="AE121" s="32" t="n"/>
      <c r="AF121" s="32" t="n"/>
      <c r="AG121" s="33" t="n"/>
      <c r="AH121" s="43" t="n"/>
      <c r="AI121" s="43" t="n"/>
      <c r="AJ121" s="44" t="n"/>
      <c r="AL121" s="35" t="n"/>
      <c r="AM121" s="35" t="n"/>
      <c r="AN121" s="35" t="n"/>
    </row>
    <row r="122">
      <c r="A122" s="27" t="n"/>
      <c r="B122" s="28" t="n"/>
      <c r="C122" s="28" t="n"/>
      <c r="D122" s="28" t="n"/>
      <c r="E122" s="45" t="n"/>
      <c r="F122" s="46" t="n"/>
      <c r="G122" s="46" t="n"/>
      <c r="H122" s="46" t="n"/>
      <c r="I122" s="46" t="n"/>
      <c r="J122" s="40" t="n"/>
      <c r="L122" s="45" t="n"/>
      <c r="M122" s="45" t="n"/>
      <c r="N122" s="45" t="n"/>
      <c r="O122" s="45" t="n"/>
      <c r="P122" s="31" t="n"/>
      <c r="Q122" s="46" t="n"/>
      <c r="R122" s="46" t="n"/>
      <c r="S122" s="46" t="n"/>
      <c r="T122" s="42" t="n"/>
      <c r="V122" s="45" t="n"/>
      <c r="W122" s="45" t="n"/>
      <c r="X122" s="45" t="n"/>
      <c r="Y122" s="31" t="n"/>
      <c r="Z122" s="46" t="n"/>
      <c r="AA122" s="46" t="n"/>
      <c r="AB122" s="46" t="n"/>
      <c r="AC122" s="42" t="n"/>
      <c r="AE122" s="32" t="n"/>
      <c r="AF122" s="32" t="n"/>
      <c r="AG122" s="33" t="n"/>
      <c r="AH122" s="43" t="n"/>
      <c r="AI122" s="43" t="n"/>
      <c r="AJ122" s="44" t="n"/>
      <c r="AL122" s="35" t="n"/>
      <c r="AM122" s="35" t="n"/>
      <c r="AN122" s="35" t="n"/>
    </row>
    <row r="123">
      <c r="A123" s="27" t="n"/>
      <c r="B123" s="28" t="n"/>
      <c r="C123" s="28" t="n"/>
      <c r="D123" s="28" t="n"/>
      <c r="E123" s="45" t="n"/>
      <c r="F123" s="46" t="n"/>
      <c r="G123" s="46" t="n"/>
      <c r="H123" s="46" t="n"/>
      <c r="I123" s="46" t="n"/>
      <c r="J123" s="40" t="n"/>
      <c r="L123" s="45" t="n"/>
      <c r="M123" s="45" t="n"/>
      <c r="N123" s="45" t="n"/>
      <c r="O123" s="45" t="n"/>
      <c r="P123" s="31" t="n"/>
      <c r="Q123" s="46" t="n"/>
      <c r="R123" s="46" t="n"/>
      <c r="S123" s="46" t="n"/>
      <c r="T123" s="42" t="n"/>
      <c r="V123" s="45" t="n"/>
      <c r="W123" s="45" t="n"/>
      <c r="X123" s="45" t="n"/>
      <c r="Y123" s="31" t="n"/>
      <c r="Z123" s="46" t="n"/>
      <c r="AA123" s="46" t="n"/>
      <c r="AB123" s="46" t="n"/>
      <c r="AC123" s="42" t="n"/>
      <c r="AE123" s="32" t="n"/>
      <c r="AF123" s="32" t="n"/>
      <c r="AG123" s="33" t="n"/>
      <c r="AH123" s="43" t="n"/>
      <c r="AI123" s="43" t="n"/>
      <c r="AJ123" s="44" t="n"/>
      <c r="AL123" s="35" t="n"/>
      <c r="AM123" s="35" t="n"/>
      <c r="AN123" s="35" t="n"/>
    </row>
    <row r="124">
      <c r="A124" s="27" t="n"/>
      <c r="B124" s="28" t="n"/>
      <c r="C124" s="28" t="n"/>
      <c r="D124" s="28" t="n"/>
      <c r="E124" s="45" t="n"/>
      <c r="F124" s="46" t="n"/>
      <c r="G124" s="46" t="n"/>
      <c r="H124" s="46" t="n"/>
      <c r="I124" s="46" t="n"/>
      <c r="J124" s="40" t="n"/>
      <c r="L124" s="45" t="n"/>
      <c r="M124" s="45" t="n"/>
      <c r="N124" s="45" t="n"/>
      <c r="O124" s="45" t="n"/>
      <c r="P124" s="31" t="n"/>
      <c r="Q124" s="46" t="n"/>
      <c r="R124" s="46" t="n"/>
      <c r="S124" s="46" t="n"/>
      <c r="T124" s="42" t="n"/>
      <c r="V124" s="45" t="n"/>
      <c r="W124" s="45" t="n"/>
      <c r="X124" s="45" t="n"/>
      <c r="Y124" s="31" t="n"/>
      <c r="Z124" s="46" t="n"/>
      <c r="AA124" s="46" t="n"/>
      <c r="AB124" s="46" t="n"/>
      <c r="AC124" s="42" t="n"/>
      <c r="AE124" s="32" t="n"/>
      <c r="AF124" s="32" t="n"/>
      <c r="AG124" s="33" t="n"/>
      <c r="AH124" s="43" t="n"/>
      <c r="AI124" s="43" t="n"/>
      <c r="AJ124" s="44" t="n"/>
      <c r="AL124" s="35" t="n"/>
      <c r="AM124" s="35" t="n"/>
      <c r="AN124" s="35" t="n"/>
    </row>
    <row r="125">
      <c r="A125" s="27" t="n"/>
      <c r="B125" s="28" t="n"/>
      <c r="C125" s="28" t="n"/>
      <c r="D125" s="28" t="n"/>
      <c r="E125" s="45" t="n"/>
      <c r="F125" s="46" t="n"/>
      <c r="G125" s="46" t="n"/>
      <c r="H125" s="46" t="n"/>
      <c r="I125" s="46" t="n"/>
      <c r="J125" s="40" t="n"/>
      <c r="L125" s="45" t="n"/>
      <c r="M125" s="45" t="n"/>
      <c r="N125" s="45" t="n"/>
      <c r="O125" s="45" t="n"/>
      <c r="P125" s="31" t="n"/>
      <c r="Q125" s="46" t="n"/>
      <c r="R125" s="46" t="n"/>
      <c r="S125" s="46" t="n"/>
      <c r="T125" s="42" t="n"/>
      <c r="V125" s="45" t="n"/>
      <c r="W125" s="45" t="n"/>
      <c r="X125" s="45" t="n"/>
      <c r="Y125" s="31" t="n"/>
      <c r="Z125" s="46" t="n"/>
      <c r="AA125" s="46" t="n"/>
      <c r="AB125" s="46" t="n"/>
      <c r="AC125" s="42" t="n"/>
      <c r="AE125" s="32" t="n"/>
      <c r="AF125" s="32" t="n"/>
      <c r="AG125" s="33" t="n"/>
      <c r="AH125" s="43" t="n"/>
      <c r="AI125" s="43" t="n"/>
      <c r="AJ125" s="44" t="n"/>
      <c r="AL125" s="35" t="n"/>
      <c r="AM125" s="35" t="n"/>
      <c r="AN125" s="35" t="n"/>
    </row>
    <row r="126">
      <c r="A126" s="27" t="n"/>
      <c r="B126" s="28" t="n"/>
      <c r="C126" s="28" t="n"/>
      <c r="D126" s="28" t="n"/>
      <c r="E126" s="45" t="n"/>
      <c r="F126" s="46" t="n"/>
      <c r="G126" s="46" t="n"/>
      <c r="H126" s="46" t="n"/>
      <c r="I126" s="46" t="n"/>
      <c r="J126" s="40" t="n"/>
      <c r="L126" s="45" t="n"/>
      <c r="M126" s="45" t="n"/>
      <c r="N126" s="45" t="n"/>
      <c r="O126" s="45" t="n"/>
      <c r="P126" s="31" t="n"/>
      <c r="Q126" s="46" t="n"/>
      <c r="R126" s="46" t="n"/>
      <c r="S126" s="46" t="n"/>
      <c r="T126" s="42" t="n"/>
      <c r="V126" s="45" t="n"/>
      <c r="W126" s="45" t="n"/>
      <c r="X126" s="45" t="n"/>
      <c r="Y126" s="31" t="n"/>
      <c r="Z126" s="46" t="n"/>
      <c r="AA126" s="46" t="n"/>
      <c r="AB126" s="46" t="n"/>
      <c r="AC126" s="42" t="n"/>
      <c r="AE126" s="32" t="n"/>
      <c r="AF126" s="32" t="n"/>
      <c r="AG126" s="33" t="n"/>
      <c r="AH126" s="43" t="n"/>
      <c r="AI126" s="43" t="n"/>
      <c r="AJ126" s="44" t="n"/>
      <c r="AL126" s="35" t="n"/>
      <c r="AM126" s="35" t="n"/>
      <c r="AN126" s="35" t="n"/>
    </row>
    <row r="127">
      <c r="A127" s="27" t="n"/>
      <c r="B127" s="28" t="n"/>
      <c r="C127" s="28" t="n"/>
      <c r="D127" s="28" t="n"/>
      <c r="E127" s="45" t="n"/>
      <c r="F127" s="46" t="n"/>
      <c r="G127" s="46" t="n"/>
      <c r="H127" s="46" t="n"/>
      <c r="I127" s="46" t="n"/>
      <c r="J127" s="40" t="n"/>
      <c r="L127" s="45" t="n"/>
      <c r="M127" s="45" t="n"/>
      <c r="N127" s="45" t="n"/>
      <c r="O127" s="45" t="n"/>
      <c r="P127" s="31" t="n"/>
      <c r="Q127" s="46" t="n"/>
      <c r="R127" s="46" t="n"/>
      <c r="S127" s="46" t="n"/>
      <c r="T127" s="42" t="n"/>
      <c r="V127" s="45" t="n"/>
      <c r="W127" s="45" t="n"/>
      <c r="X127" s="45" t="n"/>
      <c r="Y127" s="31" t="n"/>
      <c r="Z127" s="46" t="n"/>
      <c r="AA127" s="46" t="n"/>
      <c r="AB127" s="46" t="n"/>
      <c r="AC127" s="42" t="n"/>
      <c r="AE127" s="32" t="n"/>
      <c r="AF127" s="32" t="n"/>
      <c r="AG127" s="33" t="n"/>
      <c r="AH127" s="43" t="n"/>
      <c r="AI127" s="43" t="n"/>
      <c r="AJ127" s="44" t="n"/>
      <c r="AL127" s="35" t="n"/>
      <c r="AM127" s="35" t="n"/>
      <c r="AN127" s="35" t="n"/>
    </row>
    <row r="128">
      <c r="A128" s="27" t="n"/>
      <c r="B128" s="28" t="n"/>
      <c r="C128" s="28" t="n"/>
      <c r="D128" s="28" t="n"/>
      <c r="E128" s="45" t="n"/>
      <c r="F128" s="46" t="n"/>
      <c r="G128" s="46" t="n"/>
      <c r="H128" s="46" t="n"/>
      <c r="I128" s="46" t="n"/>
      <c r="J128" s="40" t="n"/>
      <c r="L128" s="45" t="n"/>
      <c r="M128" s="45" t="n"/>
      <c r="N128" s="45" t="n"/>
      <c r="O128" s="45" t="n"/>
      <c r="P128" s="31" t="n"/>
      <c r="Q128" s="46" t="n"/>
      <c r="R128" s="46" t="n"/>
      <c r="S128" s="46" t="n"/>
      <c r="T128" s="42" t="n"/>
      <c r="V128" s="45" t="n"/>
      <c r="W128" s="45" t="n"/>
      <c r="X128" s="45" t="n"/>
      <c r="Y128" s="31" t="n"/>
      <c r="Z128" s="46" t="n"/>
      <c r="AA128" s="46" t="n"/>
      <c r="AB128" s="46" t="n"/>
      <c r="AC128" s="42" t="n"/>
      <c r="AE128" s="32" t="n"/>
      <c r="AF128" s="32" t="n"/>
      <c r="AG128" s="33" t="n"/>
      <c r="AH128" s="43" t="n"/>
      <c r="AI128" s="43" t="n"/>
      <c r="AJ128" s="44" t="n"/>
      <c r="AL128" s="35" t="n"/>
      <c r="AM128" s="35" t="n"/>
      <c r="AN128" s="35" t="n"/>
    </row>
    <row r="129">
      <c r="A129" s="27" t="n"/>
      <c r="B129" s="28" t="n"/>
      <c r="C129" s="28" t="n"/>
      <c r="D129" s="28" t="n"/>
      <c r="E129" s="45" t="n"/>
      <c r="F129" s="46" t="n"/>
      <c r="G129" s="46" t="n"/>
      <c r="H129" s="46" t="n"/>
      <c r="I129" s="46" t="n"/>
      <c r="J129" s="40" t="n"/>
      <c r="L129" s="45" t="n"/>
      <c r="M129" s="45" t="n"/>
      <c r="N129" s="45" t="n"/>
      <c r="O129" s="45" t="n"/>
      <c r="P129" s="31" t="n"/>
      <c r="Q129" s="46" t="n"/>
      <c r="R129" s="46" t="n"/>
      <c r="S129" s="46" t="n"/>
      <c r="T129" s="42" t="n"/>
      <c r="V129" s="45" t="n"/>
      <c r="W129" s="45" t="n"/>
      <c r="X129" s="45" t="n"/>
      <c r="Y129" s="31" t="n"/>
      <c r="Z129" s="46" t="n"/>
      <c r="AA129" s="46" t="n"/>
      <c r="AB129" s="46" t="n"/>
      <c r="AC129" s="42" t="n"/>
      <c r="AE129" s="32" t="n"/>
      <c r="AF129" s="32" t="n"/>
      <c r="AG129" s="33" t="n"/>
      <c r="AH129" s="43" t="n"/>
      <c r="AI129" s="43" t="n"/>
      <c r="AJ129" s="44" t="n"/>
      <c r="AL129" s="35" t="n"/>
      <c r="AM129" s="35" t="n"/>
      <c r="AN129" s="35" t="n"/>
    </row>
    <row r="130">
      <c r="A130" s="27" t="n"/>
      <c r="B130" s="28" t="n"/>
      <c r="C130" s="28" t="n"/>
      <c r="D130" s="28" t="n"/>
      <c r="E130" s="45" t="n"/>
      <c r="F130" s="46" t="n"/>
      <c r="G130" s="46" t="n"/>
      <c r="H130" s="46" t="n"/>
      <c r="I130" s="46" t="n"/>
      <c r="J130" s="40" t="n"/>
      <c r="L130" s="45" t="n"/>
      <c r="M130" s="45" t="n"/>
      <c r="N130" s="45" t="n"/>
      <c r="O130" s="45" t="n"/>
      <c r="P130" s="31" t="n"/>
      <c r="Q130" s="46" t="n"/>
      <c r="R130" s="46" t="n"/>
      <c r="S130" s="46" t="n"/>
      <c r="T130" s="42" t="n"/>
      <c r="V130" s="45" t="n"/>
      <c r="W130" s="45" t="n"/>
      <c r="X130" s="45" t="n"/>
      <c r="Y130" s="31" t="n"/>
      <c r="Z130" s="46" t="n"/>
      <c r="AA130" s="46" t="n"/>
      <c r="AB130" s="46" t="n"/>
      <c r="AC130" s="42" t="n"/>
      <c r="AE130" s="32" t="n"/>
      <c r="AF130" s="32" t="n"/>
      <c r="AG130" s="33" t="n"/>
      <c r="AH130" s="43" t="n"/>
      <c r="AI130" s="43" t="n"/>
      <c r="AJ130" s="44" t="n"/>
      <c r="AL130" s="35" t="n"/>
      <c r="AM130" s="35" t="n"/>
      <c r="AN130" s="35" t="n"/>
    </row>
    <row r="131">
      <c r="A131" s="27" t="n"/>
      <c r="B131" s="28" t="n"/>
      <c r="C131" s="28" t="n"/>
      <c r="D131" s="28" t="n"/>
      <c r="E131" s="45" t="n"/>
      <c r="F131" s="46" t="n"/>
      <c r="G131" s="46" t="n"/>
      <c r="H131" s="46" t="n"/>
      <c r="I131" s="46" t="n"/>
      <c r="J131" s="40" t="n"/>
      <c r="L131" s="45" t="n"/>
      <c r="M131" s="45" t="n"/>
      <c r="N131" s="45" t="n"/>
      <c r="O131" s="45" t="n"/>
      <c r="P131" s="31" t="n"/>
      <c r="Q131" s="46" t="n"/>
      <c r="R131" s="46" t="n"/>
      <c r="S131" s="46" t="n"/>
      <c r="T131" s="42" t="n"/>
      <c r="V131" s="45" t="n"/>
      <c r="W131" s="45" t="n"/>
      <c r="X131" s="45" t="n"/>
      <c r="Y131" s="31" t="n"/>
      <c r="Z131" s="46" t="n"/>
      <c r="AA131" s="46" t="n"/>
      <c r="AB131" s="46" t="n"/>
      <c r="AC131" s="42" t="n"/>
      <c r="AE131" s="32" t="n"/>
      <c r="AF131" s="32" t="n"/>
      <c r="AG131" s="33" t="n"/>
      <c r="AH131" s="43" t="n"/>
      <c r="AI131" s="43" t="n"/>
      <c r="AJ131" s="44" t="n"/>
      <c r="AL131" s="35" t="n"/>
      <c r="AM131" s="35" t="n"/>
      <c r="AN131" s="35" t="n"/>
    </row>
    <row r="132">
      <c r="A132" s="27" t="n"/>
      <c r="B132" s="28" t="n"/>
      <c r="C132" s="28" t="n"/>
      <c r="D132" s="28" t="n"/>
      <c r="E132" s="45" t="n"/>
      <c r="F132" s="46" t="n"/>
      <c r="G132" s="46" t="n"/>
      <c r="H132" s="46" t="n"/>
      <c r="I132" s="46" t="n"/>
      <c r="J132" s="40" t="n"/>
      <c r="L132" s="45" t="n"/>
      <c r="M132" s="45" t="n"/>
      <c r="N132" s="45" t="n"/>
      <c r="O132" s="45" t="n"/>
      <c r="P132" s="31" t="n"/>
      <c r="Q132" s="46" t="n"/>
      <c r="R132" s="46" t="n"/>
      <c r="S132" s="46" t="n"/>
      <c r="T132" s="42" t="n"/>
      <c r="V132" s="45" t="n"/>
      <c r="W132" s="45" t="n"/>
      <c r="X132" s="45" t="n"/>
      <c r="Y132" s="31" t="n"/>
      <c r="Z132" s="46" t="n"/>
      <c r="AA132" s="46" t="n"/>
      <c r="AB132" s="46" t="n"/>
      <c r="AC132" s="42" t="n"/>
      <c r="AE132" s="32" t="n"/>
      <c r="AF132" s="32" t="n"/>
      <c r="AG132" s="33" t="n"/>
      <c r="AH132" s="43" t="n"/>
      <c r="AI132" s="43" t="n"/>
      <c r="AJ132" s="44" t="n"/>
      <c r="AL132" s="35" t="n"/>
      <c r="AM132" s="35" t="n"/>
      <c r="AN132" s="35" t="n"/>
    </row>
    <row r="133">
      <c r="A133" s="27" t="n"/>
      <c r="B133" s="28" t="n"/>
      <c r="C133" s="28" t="n"/>
      <c r="D133" s="28" t="n"/>
      <c r="E133" s="45" t="n"/>
      <c r="F133" s="46" t="n"/>
      <c r="G133" s="46" t="n"/>
      <c r="H133" s="46" t="n"/>
      <c r="I133" s="46" t="n"/>
      <c r="J133" s="40" t="n"/>
      <c r="L133" s="45" t="n"/>
      <c r="M133" s="45" t="n"/>
      <c r="N133" s="45" t="n"/>
      <c r="O133" s="45" t="n"/>
      <c r="P133" s="31" t="n"/>
      <c r="Q133" s="46" t="n"/>
      <c r="R133" s="46" t="n"/>
      <c r="S133" s="46" t="n"/>
      <c r="T133" s="42" t="n"/>
      <c r="V133" s="45" t="n"/>
      <c r="W133" s="45" t="n"/>
      <c r="X133" s="45" t="n"/>
      <c r="Y133" s="31" t="n"/>
      <c r="Z133" s="46" t="n"/>
      <c r="AA133" s="46" t="n"/>
      <c r="AB133" s="46" t="n"/>
      <c r="AC133" s="42" t="n"/>
      <c r="AE133" s="32" t="n"/>
      <c r="AF133" s="32" t="n"/>
      <c r="AG133" s="33" t="n"/>
      <c r="AH133" s="43" t="n"/>
      <c r="AI133" s="43" t="n"/>
      <c r="AJ133" s="44" t="n"/>
      <c r="AL133" s="35" t="n"/>
      <c r="AM133" s="35" t="n"/>
      <c r="AN133" s="35" t="n"/>
    </row>
    <row r="134">
      <c r="A134" s="27" t="n"/>
      <c r="B134" s="28" t="n"/>
      <c r="C134" s="28" t="n"/>
      <c r="D134" s="28" t="n"/>
      <c r="E134" s="45" t="n"/>
      <c r="F134" s="46" t="n"/>
      <c r="G134" s="46" t="n"/>
      <c r="H134" s="46" t="n"/>
      <c r="I134" s="46" t="n"/>
      <c r="J134" s="40" t="n"/>
      <c r="L134" s="45" t="n"/>
      <c r="M134" s="45" t="n"/>
      <c r="N134" s="45" t="n"/>
      <c r="O134" s="45" t="n"/>
      <c r="P134" s="31" t="n"/>
      <c r="Q134" s="46" t="n"/>
      <c r="R134" s="46" t="n"/>
      <c r="S134" s="46" t="n"/>
      <c r="T134" s="42" t="n"/>
      <c r="V134" s="45" t="n"/>
      <c r="W134" s="45" t="n"/>
      <c r="X134" s="45" t="n"/>
      <c r="Y134" s="31" t="n"/>
      <c r="Z134" s="46" t="n"/>
      <c r="AA134" s="46" t="n"/>
      <c r="AB134" s="46" t="n"/>
      <c r="AC134" s="42" t="n"/>
      <c r="AE134" s="32" t="n"/>
      <c r="AF134" s="32" t="n"/>
      <c r="AG134" s="33" t="n"/>
      <c r="AH134" s="43" t="n"/>
      <c r="AI134" s="43" t="n"/>
      <c r="AJ134" s="44" t="n"/>
      <c r="AL134" s="35" t="n"/>
      <c r="AM134" s="35" t="n"/>
      <c r="AN134" s="35" t="n"/>
    </row>
    <row r="135">
      <c r="A135" s="27" t="n"/>
      <c r="B135" s="28" t="n"/>
      <c r="C135" s="28" t="n"/>
      <c r="D135" s="28" t="n"/>
      <c r="E135" s="45" t="n"/>
      <c r="F135" s="46" t="n"/>
      <c r="G135" s="46" t="n"/>
      <c r="H135" s="46" t="n"/>
      <c r="I135" s="46" t="n"/>
      <c r="J135" s="40" t="n"/>
      <c r="L135" s="45" t="n"/>
      <c r="M135" s="45" t="n"/>
      <c r="N135" s="45" t="n"/>
      <c r="O135" s="45" t="n"/>
      <c r="P135" s="31" t="n"/>
      <c r="Q135" s="46" t="n"/>
      <c r="R135" s="46" t="n"/>
      <c r="S135" s="46" t="n"/>
      <c r="T135" s="42" t="n"/>
      <c r="V135" s="45" t="n"/>
      <c r="W135" s="45" t="n"/>
      <c r="X135" s="45" t="n"/>
      <c r="Y135" s="31" t="n"/>
      <c r="Z135" s="46" t="n"/>
      <c r="AA135" s="46" t="n"/>
      <c r="AB135" s="46" t="n"/>
      <c r="AC135" s="42" t="n"/>
      <c r="AE135" s="32" t="n"/>
      <c r="AF135" s="32" t="n"/>
      <c r="AG135" s="33" t="n"/>
      <c r="AH135" s="43" t="n"/>
      <c r="AI135" s="43" t="n"/>
      <c r="AJ135" s="44" t="n"/>
      <c r="AL135" s="35" t="n"/>
      <c r="AM135" s="35" t="n"/>
      <c r="AN135" s="35" t="n"/>
    </row>
    <row r="136">
      <c r="A136" s="27" t="n"/>
      <c r="B136" s="28" t="n"/>
      <c r="C136" s="28" t="n"/>
      <c r="D136" s="28" t="n"/>
      <c r="E136" s="45" t="n"/>
      <c r="F136" s="46" t="n"/>
      <c r="G136" s="46" t="n"/>
      <c r="H136" s="46" t="n"/>
      <c r="I136" s="46" t="n"/>
      <c r="J136" s="40" t="n"/>
      <c r="L136" s="45" t="n"/>
      <c r="M136" s="45" t="n"/>
      <c r="N136" s="45" t="n"/>
      <c r="O136" s="45" t="n"/>
      <c r="P136" s="31" t="n"/>
      <c r="Q136" s="46" t="n"/>
      <c r="R136" s="46" t="n"/>
      <c r="S136" s="46" t="n"/>
      <c r="T136" s="42" t="n"/>
      <c r="V136" s="45" t="n"/>
      <c r="W136" s="45" t="n"/>
      <c r="X136" s="45" t="n"/>
      <c r="Y136" s="31" t="n"/>
      <c r="Z136" s="46" t="n"/>
      <c r="AA136" s="46" t="n"/>
      <c r="AB136" s="46" t="n"/>
      <c r="AC136" s="42" t="n"/>
      <c r="AE136" s="32" t="n"/>
      <c r="AF136" s="32" t="n"/>
      <c r="AG136" s="33" t="n"/>
      <c r="AH136" s="43" t="n"/>
      <c r="AI136" s="43" t="n"/>
      <c r="AJ136" s="44" t="n"/>
      <c r="AL136" s="35" t="n"/>
      <c r="AM136" s="35" t="n"/>
      <c r="AN136" s="35" t="n"/>
    </row>
    <row r="137">
      <c r="A137" s="27" t="n"/>
      <c r="B137" s="28" t="n"/>
      <c r="C137" s="28" t="n"/>
      <c r="D137" s="28" t="n"/>
      <c r="E137" s="45" t="n"/>
      <c r="F137" s="46" t="n"/>
      <c r="G137" s="46" t="n"/>
      <c r="H137" s="46" t="n"/>
      <c r="I137" s="46" t="n"/>
      <c r="J137" s="40" t="n"/>
      <c r="L137" s="45" t="n"/>
      <c r="M137" s="45" t="n"/>
      <c r="N137" s="45" t="n"/>
      <c r="O137" s="45" t="n"/>
      <c r="P137" s="31" t="n"/>
      <c r="Q137" s="46" t="n"/>
      <c r="R137" s="46" t="n"/>
      <c r="S137" s="46" t="n"/>
      <c r="T137" s="42" t="n"/>
      <c r="V137" s="45" t="n"/>
      <c r="W137" s="45" t="n"/>
      <c r="X137" s="45" t="n"/>
      <c r="Y137" s="31" t="n"/>
      <c r="Z137" s="46" t="n"/>
      <c r="AA137" s="46" t="n"/>
      <c r="AB137" s="46" t="n"/>
      <c r="AC137" s="42" t="n"/>
      <c r="AE137" s="32" t="n"/>
      <c r="AF137" s="32" t="n"/>
      <c r="AG137" s="33" t="n"/>
      <c r="AH137" s="43" t="n"/>
      <c r="AI137" s="43" t="n"/>
      <c r="AJ137" s="44" t="n"/>
      <c r="AL137" s="35" t="n"/>
      <c r="AM137" s="35" t="n"/>
      <c r="AN137" s="35" t="n"/>
    </row>
    <row r="138">
      <c r="A138" s="27" t="n"/>
      <c r="B138" s="28" t="n"/>
      <c r="C138" s="28" t="n"/>
      <c r="D138" s="28" t="n"/>
      <c r="E138" s="45" t="n"/>
      <c r="F138" s="46" t="n"/>
      <c r="G138" s="46" t="n"/>
      <c r="H138" s="46" t="n"/>
      <c r="I138" s="46" t="n"/>
      <c r="J138" s="40" t="n"/>
      <c r="L138" s="45" t="n"/>
      <c r="M138" s="45" t="n"/>
      <c r="N138" s="45" t="n"/>
      <c r="O138" s="45" t="n"/>
      <c r="P138" s="31" t="n"/>
      <c r="Q138" s="46" t="n"/>
      <c r="R138" s="46" t="n"/>
      <c r="S138" s="46" t="n"/>
      <c r="T138" s="42" t="n"/>
      <c r="V138" s="45" t="n"/>
      <c r="W138" s="45" t="n"/>
      <c r="X138" s="45" t="n"/>
      <c r="Y138" s="31" t="n"/>
      <c r="Z138" s="46" t="n"/>
      <c r="AA138" s="46" t="n"/>
      <c r="AB138" s="46" t="n"/>
      <c r="AC138" s="42" t="n"/>
      <c r="AE138" s="32" t="n"/>
      <c r="AF138" s="32" t="n"/>
      <c r="AG138" s="33" t="n"/>
      <c r="AH138" s="43" t="n"/>
      <c r="AI138" s="43" t="n"/>
      <c r="AJ138" s="44" t="n"/>
      <c r="AL138" s="35" t="n"/>
      <c r="AM138" s="35" t="n"/>
      <c r="AN138" s="35" t="n"/>
    </row>
    <row r="139">
      <c r="A139" s="27" t="n"/>
      <c r="B139" s="28" t="n"/>
      <c r="C139" s="28" t="n"/>
      <c r="D139" s="28" t="n"/>
      <c r="E139" s="45" t="n"/>
      <c r="F139" s="46" t="n"/>
      <c r="G139" s="46" t="n"/>
      <c r="H139" s="46" t="n"/>
      <c r="I139" s="46" t="n"/>
      <c r="J139" s="40" t="n"/>
      <c r="L139" s="45" t="n"/>
      <c r="M139" s="45" t="n"/>
      <c r="N139" s="45" t="n"/>
      <c r="O139" s="45" t="n"/>
      <c r="P139" s="31" t="n"/>
      <c r="Q139" s="46" t="n"/>
      <c r="R139" s="46" t="n"/>
      <c r="S139" s="46" t="n"/>
      <c r="T139" s="42" t="n"/>
      <c r="V139" s="45" t="n"/>
      <c r="W139" s="45" t="n"/>
      <c r="X139" s="45" t="n"/>
      <c r="Y139" s="31" t="n"/>
      <c r="Z139" s="46" t="n"/>
      <c r="AA139" s="46" t="n"/>
      <c r="AB139" s="46" t="n"/>
      <c r="AC139" s="42" t="n"/>
      <c r="AE139" s="32" t="n"/>
      <c r="AF139" s="32" t="n"/>
      <c r="AG139" s="33" t="n"/>
      <c r="AH139" s="43" t="n"/>
      <c r="AI139" s="43" t="n"/>
      <c r="AJ139" s="44" t="n"/>
      <c r="AL139" s="35" t="n"/>
      <c r="AM139" s="35" t="n"/>
      <c r="AN139" s="35" t="n"/>
    </row>
    <row r="140">
      <c r="A140" s="27" t="n"/>
      <c r="B140" s="28" t="n"/>
      <c r="C140" s="28" t="n"/>
      <c r="D140" s="28" t="n"/>
      <c r="E140" s="45" t="n"/>
      <c r="F140" s="46" t="n"/>
      <c r="G140" s="46" t="n"/>
      <c r="H140" s="46" t="n"/>
      <c r="I140" s="46" t="n"/>
      <c r="J140" s="40" t="n"/>
      <c r="L140" s="45" t="n"/>
      <c r="M140" s="45" t="n"/>
      <c r="N140" s="45" t="n"/>
      <c r="O140" s="45" t="n"/>
      <c r="P140" s="31" t="n"/>
      <c r="Q140" s="46" t="n"/>
      <c r="R140" s="46" t="n"/>
      <c r="S140" s="46" t="n"/>
      <c r="T140" s="42" t="n"/>
      <c r="V140" s="45" t="n"/>
      <c r="W140" s="45" t="n"/>
      <c r="X140" s="45" t="n"/>
      <c r="Y140" s="31" t="n"/>
      <c r="Z140" s="46" t="n"/>
      <c r="AA140" s="46" t="n"/>
      <c r="AB140" s="46" t="n"/>
      <c r="AC140" s="42" t="n"/>
      <c r="AE140" s="32" t="n"/>
      <c r="AF140" s="32" t="n"/>
      <c r="AG140" s="33" t="n"/>
      <c r="AH140" s="43" t="n"/>
      <c r="AI140" s="43" t="n"/>
      <c r="AJ140" s="44" t="n"/>
      <c r="AL140" s="35" t="n"/>
      <c r="AM140" s="35" t="n"/>
      <c r="AN140" s="35" t="n"/>
    </row>
    <row r="141">
      <c r="A141" s="27" t="n"/>
      <c r="B141" s="28" t="n"/>
      <c r="C141" s="28" t="n"/>
      <c r="D141" s="28" t="n"/>
      <c r="E141" s="45" t="n"/>
      <c r="F141" s="46" t="n"/>
      <c r="G141" s="46" t="n"/>
      <c r="H141" s="46" t="n"/>
      <c r="I141" s="46" t="n"/>
      <c r="J141" s="40" t="n"/>
      <c r="L141" s="45" t="n"/>
      <c r="M141" s="45" t="n"/>
      <c r="N141" s="45" t="n"/>
      <c r="O141" s="45" t="n"/>
      <c r="P141" s="31" t="n"/>
      <c r="Q141" s="46" t="n"/>
      <c r="R141" s="46" t="n"/>
      <c r="S141" s="46" t="n"/>
      <c r="T141" s="42" t="n"/>
      <c r="V141" s="45" t="n"/>
      <c r="W141" s="45" t="n"/>
      <c r="X141" s="45" t="n"/>
      <c r="Y141" s="31" t="n"/>
      <c r="Z141" s="46" t="n"/>
      <c r="AA141" s="46" t="n"/>
      <c r="AB141" s="46" t="n"/>
      <c r="AC141" s="42" t="n"/>
      <c r="AE141" s="32" t="n"/>
      <c r="AF141" s="32" t="n"/>
      <c r="AG141" s="33" t="n"/>
      <c r="AH141" s="43" t="n"/>
      <c r="AI141" s="43" t="n"/>
      <c r="AJ141" s="44" t="n"/>
      <c r="AL141" s="35" t="n"/>
      <c r="AM141" s="35" t="n"/>
      <c r="AN141" s="35" t="n"/>
    </row>
    <row r="142">
      <c r="A142" s="27" t="n"/>
      <c r="B142" s="28" t="n"/>
      <c r="C142" s="28" t="n"/>
      <c r="D142" s="28" t="n"/>
      <c r="E142" s="45" t="n"/>
      <c r="F142" s="46" t="n"/>
      <c r="G142" s="46" t="n"/>
      <c r="H142" s="46" t="n"/>
      <c r="I142" s="46" t="n"/>
      <c r="J142" s="40" t="n"/>
      <c r="L142" s="45" t="n"/>
      <c r="M142" s="45" t="n"/>
      <c r="N142" s="45" t="n"/>
      <c r="O142" s="45" t="n"/>
      <c r="P142" s="31" t="n"/>
      <c r="Q142" s="46" t="n"/>
      <c r="R142" s="46" t="n"/>
      <c r="S142" s="46" t="n"/>
      <c r="T142" s="42" t="n"/>
      <c r="V142" s="45" t="n"/>
      <c r="W142" s="45" t="n"/>
      <c r="X142" s="45" t="n"/>
      <c r="Y142" s="31" t="n"/>
      <c r="Z142" s="46" t="n"/>
      <c r="AA142" s="46" t="n"/>
      <c r="AB142" s="46" t="n"/>
      <c r="AC142" s="42" t="n"/>
      <c r="AE142" s="32" t="n"/>
      <c r="AF142" s="32" t="n"/>
      <c r="AG142" s="33" t="n"/>
      <c r="AH142" s="43" t="n"/>
      <c r="AI142" s="43" t="n"/>
      <c r="AJ142" s="44" t="n"/>
      <c r="AL142" s="35" t="n"/>
      <c r="AM142" s="35" t="n"/>
      <c r="AN142" s="35" t="n"/>
    </row>
    <row r="143">
      <c r="A143" s="27" t="n"/>
      <c r="B143" s="28" t="n"/>
      <c r="C143" s="28" t="n"/>
      <c r="D143" s="28" t="n"/>
      <c r="E143" s="45" t="n"/>
      <c r="F143" s="46" t="n"/>
      <c r="G143" s="46" t="n"/>
      <c r="H143" s="46" t="n"/>
      <c r="I143" s="46" t="n"/>
      <c r="J143" s="40" t="n"/>
      <c r="L143" s="45" t="n"/>
      <c r="M143" s="45" t="n"/>
      <c r="N143" s="45" t="n"/>
      <c r="O143" s="45" t="n"/>
      <c r="P143" s="31" t="n"/>
      <c r="Q143" s="46" t="n"/>
      <c r="R143" s="46" t="n"/>
      <c r="S143" s="46" t="n"/>
      <c r="T143" s="42" t="n"/>
      <c r="V143" s="45" t="n"/>
      <c r="W143" s="45" t="n"/>
      <c r="X143" s="45" t="n"/>
      <c r="Y143" s="31" t="n"/>
      <c r="Z143" s="46" t="n"/>
      <c r="AA143" s="46" t="n"/>
      <c r="AB143" s="46" t="n"/>
      <c r="AC143" s="42" t="n"/>
      <c r="AE143" s="32" t="n"/>
      <c r="AF143" s="32" t="n"/>
      <c r="AG143" s="33" t="n"/>
      <c r="AH143" s="43" t="n"/>
      <c r="AI143" s="43" t="n"/>
      <c r="AJ143" s="44" t="n"/>
      <c r="AL143" s="35" t="n"/>
      <c r="AM143" s="35" t="n"/>
      <c r="AN143" s="35" t="n"/>
    </row>
    <row r="144">
      <c r="A144" s="27" t="n"/>
      <c r="B144" s="28" t="n"/>
      <c r="C144" s="28" t="n"/>
      <c r="D144" s="28" t="n"/>
      <c r="E144" s="45" t="n"/>
      <c r="F144" s="46" t="n"/>
      <c r="G144" s="46" t="n"/>
      <c r="H144" s="46" t="n"/>
      <c r="I144" s="46" t="n"/>
      <c r="J144" s="40" t="n"/>
      <c r="L144" s="45" t="n"/>
      <c r="M144" s="45" t="n"/>
      <c r="N144" s="45" t="n"/>
      <c r="O144" s="45" t="n"/>
      <c r="P144" s="31" t="n"/>
      <c r="Q144" s="46" t="n"/>
      <c r="R144" s="46" t="n"/>
      <c r="S144" s="46" t="n"/>
      <c r="T144" s="42" t="n"/>
      <c r="V144" s="45" t="n"/>
      <c r="W144" s="45" t="n"/>
      <c r="X144" s="45" t="n"/>
      <c r="Y144" s="31" t="n"/>
      <c r="Z144" s="46" t="n"/>
      <c r="AA144" s="46" t="n"/>
      <c r="AB144" s="46" t="n"/>
      <c r="AC144" s="42" t="n"/>
      <c r="AE144" s="32" t="n"/>
      <c r="AF144" s="32" t="n"/>
      <c r="AG144" s="33" t="n"/>
      <c r="AH144" s="43" t="n"/>
      <c r="AI144" s="43" t="n"/>
      <c r="AJ144" s="44" t="n"/>
      <c r="AL144" s="35" t="n"/>
      <c r="AM144" s="35" t="n"/>
      <c r="AN144" s="35" t="n"/>
    </row>
    <row r="145">
      <c r="A145" s="27" t="n"/>
      <c r="B145" s="28" t="n"/>
      <c r="C145" s="28" t="n"/>
      <c r="D145" s="28" t="n"/>
      <c r="E145" s="45" t="n"/>
      <c r="F145" s="46" t="n"/>
      <c r="G145" s="46" t="n"/>
      <c r="H145" s="46" t="n"/>
      <c r="I145" s="46" t="n"/>
      <c r="J145" s="40" t="n"/>
      <c r="L145" s="45" t="n"/>
      <c r="M145" s="45" t="n"/>
      <c r="N145" s="45" t="n"/>
      <c r="O145" s="45" t="n"/>
      <c r="P145" s="31" t="n"/>
      <c r="Q145" s="46" t="n"/>
      <c r="R145" s="46" t="n"/>
      <c r="S145" s="46" t="n"/>
      <c r="T145" s="42" t="n"/>
      <c r="V145" s="45" t="n"/>
      <c r="W145" s="45" t="n"/>
      <c r="X145" s="45" t="n"/>
      <c r="Y145" s="31" t="n"/>
      <c r="Z145" s="46" t="n"/>
      <c r="AA145" s="46" t="n"/>
      <c r="AB145" s="46" t="n"/>
      <c r="AC145" s="42" t="n"/>
      <c r="AE145" s="32" t="n"/>
      <c r="AF145" s="32" t="n"/>
      <c r="AG145" s="33" t="n"/>
      <c r="AH145" s="43" t="n"/>
      <c r="AI145" s="43" t="n"/>
      <c r="AJ145" s="44" t="n"/>
      <c r="AL145" s="35" t="n"/>
      <c r="AM145" s="35" t="n"/>
      <c r="AN145" s="35" t="n"/>
    </row>
    <row r="146">
      <c r="A146" s="27" t="n"/>
      <c r="B146" s="28" t="n"/>
      <c r="C146" s="28" t="n"/>
      <c r="D146" s="28" t="n"/>
      <c r="E146" s="45" t="n"/>
      <c r="F146" s="46" t="n"/>
      <c r="G146" s="46" t="n"/>
      <c r="H146" s="46" t="n"/>
      <c r="I146" s="46" t="n"/>
      <c r="J146" s="40" t="n"/>
      <c r="L146" s="45" t="n"/>
      <c r="M146" s="45" t="n"/>
      <c r="N146" s="45" t="n"/>
      <c r="O146" s="45" t="n"/>
      <c r="P146" s="31" t="n"/>
      <c r="Q146" s="46" t="n"/>
      <c r="R146" s="46" t="n"/>
      <c r="S146" s="46" t="n"/>
      <c r="T146" s="42" t="n"/>
      <c r="V146" s="45" t="n"/>
      <c r="W146" s="45" t="n"/>
      <c r="X146" s="45" t="n"/>
      <c r="Y146" s="31" t="n"/>
      <c r="Z146" s="46" t="n"/>
      <c r="AA146" s="46" t="n"/>
      <c r="AB146" s="46" t="n"/>
      <c r="AC146" s="42" t="n"/>
      <c r="AE146" s="32" t="n"/>
      <c r="AF146" s="32" t="n"/>
      <c r="AG146" s="33" t="n"/>
      <c r="AH146" s="43" t="n"/>
      <c r="AI146" s="43" t="n"/>
      <c r="AJ146" s="44" t="n"/>
      <c r="AL146" s="35" t="n"/>
      <c r="AM146" s="35" t="n"/>
      <c r="AN146" s="35" t="n"/>
    </row>
    <row r="147">
      <c r="A147" s="27" t="n"/>
      <c r="B147" s="28" t="n"/>
      <c r="C147" s="28" t="n"/>
      <c r="D147" s="28" t="n"/>
      <c r="E147" s="45" t="n"/>
      <c r="F147" s="46" t="n"/>
      <c r="G147" s="46" t="n"/>
      <c r="H147" s="46" t="n"/>
      <c r="I147" s="46" t="n"/>
      <c r="J147" s="40" t="n"/>
      <c r="L147" s="45" t="n"/>
      <c r="M147" s="45" t="n"/>
      <c r="N147" s="45" t="n"/>
      <c r="O147" s="45" t="n"/>
      <c r="P147" s="31" t="n"/>
      <c r="Q147" s="46" t="n"/>
      <c r="R147" s="46" t="n"/>
      <c r="S147" s="46" t="n"/>
      <c r="T147" s="42" t="n"/>
      <c r="V147" s="45" t="n"/>
      <c r="W147" s="45" t="n"/>
      <c r="X147" s="45" t="n"/>
      <c r="Y147" s="31" t="n"/>
      <c r="Z147" s="46" t="n"/>
      <c r="AA147" s="46" t="n"/>
      <c r="AB147" s="46" t="n"/>
      <c r="AC147" s="42" t="n"/>
      <c r="AE147" s="32" t="n"/>
      <c r="AF147" s="32" t="n"/>
      <c r="AG147" s="33" t="n"/>
      <c r="AH147" s="43" t="n"/>
      <c r="AI147" s="43" t="n"/>
      <c r="AJ147" s="44" t="n"/>
      <c r="AL147" s="35" t="n"/>
      <c r="AM147" s="35" t="n"/>
      <c r="AN147" s="35" t="n"/>
    </row>
    <row r="148">
      <c r="A148" s="27" t="n"/>
      <c r="B148" s="28" t="n"/>
      <c r="C148" s="28" t="n"/>
      <c r="D148" s="28" t="n"/>
      <c r="E148" s="45" t="n"/>
      <c r="F148" s="46" t="n"/>
      <c r="G148" s="46" t="n"/>
      <c r="H148" s="46" t="n"/>
      <c r="I148" s="46" t="n"/>
      <c r="J148" s="40" t="n"/>
      <c r="L148" s="45" t="n"/>
      <c r="M148" s="45" t="n"/>
      <c r="N148" s="45" t="n"/>
      <c r="O148" s="45" t="n"/>
      <c r="P148" s="31" t="n"/>
      <c r="Q148" s="46" t="n"/>
      <c r="R148" s="46" t="n"/>
      <c r="S148" s="46" t="n"/>
      <c r="T148" s="42" t="n"/>
      <c r="V148" s="45" t="n"/>
      <c r="W148" s="45" t="n"/>
      <c r="X148" s="45" t="n"/>
      <c r="Y148" s="31" t="n"/>
      <c r="Z148" s="46" t="n"/>
      <c r="AA148" s="46" t="n"/>
      <c r="AB148" s="46" t="n"/>
      <c r="AC148" s="42" t="n"/>
      <c r="AE148" s="32" t="n"/>
      <c r="AF148" s="32" t="n"/>
      <c r="AG148" s="33" t="n"/>
      <c r="AH148" s="43" t="n"/>
      <c r="AI148" s="43" t="n"/>
      <c r="AJ148" s="44" t="n"/>
      <c r="AL148" s="35" t="n"/>
      <c r="AM148" s="35" t="n"/>
      <c r="AN148" s="35" t="n"/>
    </row>
    <row r="149">
      <c r="A149" s="27" t="n"/>
      <c r="B149" s="28" t="n"/>
      <c r="C149" s="28" t="n"/>
      <c r="D149" s="28" t="n"/>
      <c r="E149" s="45" t="n"/>
      <c r="F149" s="46" t="n"/>
      <c r="G149" s="46" t="n"/>
      <c r="H149" s="46" t="n"/>
      <c r="I149" s="46" t="n"/>
      <c r="J149" s="40" t="n"/>
      <c r="L149" s="45" t="n"/>
      <c r="M149" s="45" t="n"/>
      <c r="N149" s="45" t="n"/>
      <c r="O149" s="45" t="n"/>
      <c r="P149" s="31" t="n"/>
      <c r="Q149" s="46" t="n"/>
      <c r="R149" s="46" t="n"/>
      <c r="S149" s="46" t="n"/>
      <c r="T149" s="42" t="n"/>
      <c r="V149" s="45" t="n"/>
      <c r="W149" s="45" t="n"/>
      <c r="X149" s="45" t="n"/>
      <c r="Y149" s="31" t="n"/>
      <c r="Z149" s="46" t="n"/>
      <c r="AA149" s="46" t="n"/>
      <c r="AB149" s="46" t="n"/>
      <c r="AC149" s="42" t="n"/>
      <c r="AE149" s="32" t="n"/>
      <c r="AF149" s="32" t="n"/>
      <c r="AG149" s="33" t="n"/>
      <c r="AH149" s="43" t="n"/>
      <c r="AI149" s="43" t="n"/>
      <c r="AJ149" s="44" t="n"/>
      <c r="AL149" s="35" t="n"/>
      <c r="AM149" s="35" t="n"/>
      <c r="AN149" s="35" t="n"/>
    </row>
    <row r="150">
      <c r="A150" s="27" t="n"/>
      <c r="B150" s="28" t="n"/>
      <c r="C150" s="28" t="n"/>
      <c r="D150" s="28" t="n"/>
      <c r="E150" s="45" t="n"/>
      <c r="F150" s="46" t="n"/>
      <c r="G150" s="46" t="n"/>
      <c r="H150" s="46" t="n"/>
      <c r="I150" s="46" t="n"/>
      <c r="J150" s="40" t="n"/>
      <c r="L150" s="45" t="n"/>
      <c r="M150" s="45" t="n"/>
      <c r="N150" s="45" t="n"/>
      <c r="O150" s="45" t="n"/>
      <c r="P150" s="31" t="n"/>
      <c r="Q150" s="46" t="n"/>
      <c r="R150" s="46" t="n"/>
      <c r="S150" s="46" t="n"/>
      <c r="T150" s="42" t="n"/>
      <c r="V150" s="45" t="n"/>
      <c r="W150" s="45" t="n"/>
      <c r="X150" s="45" t="n"/>
      <c r="Y150" s="31" t="n"/>
      <c r="Z150" s="46" t="n"/>
      <c r="AA150" s="46" t="n"/>
      <c r="AB150" s="46" t="n"/>
      <c r="AC150" s="42" t="n"/>
      <c r="AE150" s="32" t="n"/>
      <c r="AF150" s="32" t="n"/>
      <c r="AG150" s="33" t="n"/>
      <c r="AH150" s="43" t="n"/>
      <c r="AI150" s="43" t="n"/>
      <c r="AJ150" s="44" t="n"/>
      <c r="AL150" s="35" t="n"/>
      <c r="AM150" s="35" t="n"/>
      <c r="AN150" s="35" t="n"/>
    </row>
    <row r="151">
      <c r="A151" s="27" t="n"/>
      <c r="B151" s="28" t="n"/>
      <c r="C151" s="28" t="n"/>
      <c r="D151" s="28" t="n"/>
      <c r="E151" s="45" t="n"/>
      <c r="F151" s="46" t="n"/>
      <c r="G151" s="46" t="n"/>
      <c r="H151" s="46" t="n"/>
      <c r="I151" s="46" t="n"/>
      <c r="J151" s="40" t="n"/>
      <c r="L151" s="45" t="n"/>
      <c r="M151" s="45" t="n"/>
      <c r="N151" s="45" t="n"/>
      <c r="O151" s="45" t="n"/>
      <c r="P151" s="31" t="n"/>
      <c r="Q151" s="46" t="n"/>
      <c r="R151" s="46" t="n"/>
      <c r="S151" s="46" t="n"/>
      <c r="T151" s="42" t="n"/>
      <c r="V151" s="45" t="n"/>
      <c r="W151" s="45" t="n"/>
      <c r="X151" s="45" t="n"/>
      <c r="Y151" s="31" t="n"/>
      <c r="Z151" s="46" t="n"/>
      <c r="AA151" s="46" t="n"/>
      <c r="AB151" s="46" t="n"/>
      <c r="AC151" s="42" t="n"/>
      <c r="AE151" s="32" t="n"/>
      <c r="AF151" s="32" t="n"/>
      <c r="AG151" s="33" t="n"/>
      <c r="AH151" s="43" t="n"/>
      <c r="AI151" s="43" t="n"/>
      <c r="AJ151" s="44" t="n"/>
      <c r="AL151" s="35" t="n"/>
      <c r="AM151" s="35" t="n"/>
      <c r="AN151" s="35" t="n"/>
    </row>
    <row r="152">
      <c r="A152" s="27" t="n"/>
      <c r="B152" s="28" t="n"/>
      <c r="C152" s="28" t="n"/>
      <c r="D152" s="28" t="n"/>
      <c r="E152" s="45" t="n"/>
      <c r="F152" s="46" t="n"/>
      <c r="G152" s="46" t="n"/>
      <c r="H152" s="46" t="n"/>
      <c r="I152" s="46" t="n"/>
      <c r="J152" s="40" t="n"/>
      <c r="L152" s="45" t="n"/>
      <c r="M152" s="45" t="n"/>
      <c r="N152" s="45" t="n"/>
      <c r="O152" s="45" t="n"/>
      <c r="P152" s="31" t="n"/>
      <c r="Q152" s="46" t="n"/>
      <c r="R152" s="46" t="n"/>
      <c r="S152" s="46" t="n"/>
      <c r="T152" s="42" t="n"/>
      <c r="V152" s="45" t="n"/>
      <c r="W152" s="45" t="n"/>
      <c r="X152" s="45" t="n"/>
      <c r="Y152" s="31" t="n"/>
      <c r="Z152" s="46" t="n"/>
      <c r="AA152" s="46" t="n"/>
      <c r="AB152" s="46" t="n"/>
      <c r="AC152" s="42" t="n"/>
      <c r="AE152" s="32" t="n"/>
      <c r="AF152" s="32" t="n"/>
      <c r="AG152" s="33" t="n"/>
      <c r="AH152" s="43" t="n"/>
      <c r="AI152" s="43" t="n"/>
      <c r="AJ152" s="44" t="n"/>
      <c r="AL152" s="35" t="n"/>
      <c r="AM152" s="35" t="n"/>
      <c r="AN152" s="35" t="n"/>
    </row>
    <row r="153">
      <c r="A153" s="27" t="n"/>
      <c r="B153" s="28" t="n"/>
      <c r="C153" s="28" t="n"/>
      <c r="D153" s="28" t="n"/>
      <c r="E153" s="45" t="n"/>
      <c r="F153" s="46" t="n"/>
      <c r="G153" s="46" t="n"/>
      <c r="H153" s="46" t="n"/>
      <c r="I153" s="46" t="n"/>
      <c r="J153" s="40" t="n"/>
      <c r="L153" s="45" t="n"/>
      <c r="M153" s="45" t="n"/>
      <c r="N153" s="45" t="n"/>
      <c r="O153" s="45" t="n"/>
      <c r="P153" s="31" t="n"/>
      <c r="Q153" s="46" t="n"/>
      <c r="R153" s="46" t="n"/>
      <c r="S153" s="46" t="n"/>
      <c r="T153" s="42" t="n"/>
      <c r="V153" s="45" t="n"/>
      <c r="W153" s="45" t="n"/>
      <c r="X153" s="45" t="n"/>
      <c r="Y153" s="31" t="n"/>
      <c r="Z153" s="46" t="n"/>
      <c r="AA153" s="46" t="n"/>
      <c r="AB153" s="46" t="n"/>
      <c r="AC153" s="42" t="n"/>
      <c r="AE153" s="32" t="n"/>
      <c r="AF153" s="32" t="n"/>
      <c r="AG153" s="33" t="n"/>
      <c r="AH153" s="43" t="n"/>
      <c r="AI153" s="43" t="n"/>
      <c r="AJ153" s="44" t="n"/>
      <c r="AL153" s="35" t="n"/>
      <c r="AM153" s="35" t="n"/>
      <c r="AN153" s="35" t="n"/>
    </row>
    <row r="154">
      <c r="A154" s="27" t="n"/>
      <c r="B154" s="28" t="n"/>
      <c r="C154" s="28" t="n"/>
      <c r="D154" s="28" t="n"/>
      <c r="E154" s="45" t="n"/>
      <c r="F154" s="46" t="n"/>
      <c r="G154" s="46" t="n"/>
      <c r="H154" s="46" t="n"/>
      <c r="I154" s="46" t="n"/>
      <c r="J154" s="40" t="n"/>
      <c r="L154" s="45" t="n"/>
      <c r="M154" s="45" t="n"/>
      <c r="N154" s="45" t="n"/>
      <c r="O154" s="45" t="n"/>
      <c r="P154" s="31" t="n"/>
      <c r="Q154" s="46" t="n"/>
      <c r="R154" s="46" t="n"/>
      <c r="S154" s="46" t="n"/>
      <c r="T154" s="42" t="n"/>
      <c r="V154" s="45" t="n"/>
      <c r="W154" s="45" t="n"/>
      <c r="X154" s="45" t="n"/>
      <c r="Y154" s="31" t="n"/>
      <c r="Z154" s="46" t="n"/>
      <c r="AA154" s="46" t="n"/>
      <c r="AB154" s="46" t="n"/>
      <c r="AC154" s="42" t="n"/>
      <c r="AE154" s="32" t="n"/>
      <c r="AF154" s="32" t="n"/>
      <c r="AG154" s="33" t="n"/>
      <c r="AH154" s="43" t="n"/>
      <c r="AI154" s="43" t="n"/>
      <c r="AJ154" s="44" t="n"/>
      <c r="AL154" s="35" t="n"/>
      <c r="AM154" s="35" t="n"/>
      <c r="AN154" s="35" t="n"/>
    </row>
    <row r="155">
      <c r="A155" s="27" t="n"/>
      <c r="B155" s="28" t="n"/>
      <c r="C155" s="28" t="n"/>
      <c r="D155" s="28" t="n"/>
      <c r="E155" s="45" t="n"/>
      <c r="F155" s="46" t="n"/>
      <c r="G155" s="46" t="n"/>
      <c r="H155" s="46" t="n"/>
      <c r="I155" s="46" t="n"/>
      <c r="J155" s="40" t="n"/>
      <c r="L155" s="45" t="n"/>
      <c r="M155" s="45" t="n"/>
      <c r="N155" s="45" t="n"/>
      <c r="O155" s="45" t="n"/>
      <c r="P155" s="31" t="n"/>
      <c r="Q155" s="46" t="n"/>
      <c r="R155" s="46" t="n"/>
      <c r="S155" s="46" t="n"/>
      <c r="T155" s="42" t="n"/>
      <c r="V155" s="45" t="n"/>
      <c r="W155" s="45" t="n"/>
      <c r="X155" s="45" t="n"/>
      <c r="Y155" s="31" t="n"/>
      <c r="Z155" s="46" t="n"/>
      <c r="AA155" s="46" t="n"/>
      <c r="AB155" s="46" t="n"/>
      <c r="AC155" s="42" t="n"/>
      <c r="AE155" s="32" t="n"/>
      <c r="AF155" s="32" t="n"/>
      <c r="AG155" s="33" t="n"/>
      <c r="AH155" s="43" t="n"/>
      <c r="AI155" s="43" t="n"/>
      <c r="AJ155" s="44" t="n"/>
      <c r="AL155" s="35" t="n"/>
      <c r="AM155" s="35" t="n"/>
      <c r="AN155" s="35" t="n"/>
    </row>
    <row r="156">
      <c r="A156" s="27" t="n"/>
      <c r="B156" s="28" t="n"/>
      <c r="C156" s="28" t="n"/>
      <c r="D156" s="28" t="n"/>
      <c r="E156" s="45" t="n"/>
      <c r="F156" s="46" t="n"/>
      <c r="G156" s="46" t="n"/>
      <c r="H156" s="46" t="n"/>
      <c r="I156" s="46" t="n"/>
      <c r="J156" s="40" t="n"/>
      <c r="L156" s="45" t="n"/>
      <c r="M156" s="45" t="n"/>
      <c r="N156" s="45" t="n"/>
      <c r="O156" s="45" t="n"/>
      <c r="P156" s="31" t="n"/>
      <c r="Q156" s="46" t="n"/>
      <c r="R156" s="46" t="n"/>
      <c r="S156" s="46" t="n"/>
      <c r="T156" s="42" t="n"/>
      <c r="V156" s="45" t="n"/>
      <c r="W156" s="45" t="n"/>
      <c r="X156" s="45" t="n"/>
      <c r="Y156" s="31" t="n"/>
      <c r="Z156" s="46" t="n"/>
      <c r="AA156" s="46" t="n"/>
      <c r="AB156" s="46" t="n"/>
      <c r="AC156" s="42" t="n"/>
      <c r="AE156" s="32" t="n"/>
      <c r="AF156" s="32" t="n"/>
      <c r="AG156" s="33" t="n"/>
      <c r="AH156" s="43" t="n"/>
      <c r="AI156" s="43" t="n"/>
      <c r="AJ156" s="44" t="n"/>
      <c r="AL156" s="35" t="n"/>
      <c r="AM156" s="35" t="n"/>
      <c r="AN156" s="35" t="n"/>
    </row>
    <row r="157">
      <c r="A157" s="27" t="n"/>
      <c r="B157" s="28" t="n"/>
      <c r="C157" s="28" t="n"/>
      <c r="D157" s="28" t="n"/>
      <c r="E157" s="45" t="n"/>
      <c r="F157" s="46" t="n"/>
      <c r="G157" s="46" t="n"/>
      <c r="H157" s="46" t="n"/>
      <c r="I157" s="46" t="n"/>
      <c r="J157" s="40" t="n"/>
      <c r="L157" s="45" t="n"/>
      <c r="M157" s="45" t="n"/>
      <c r="N157" s="45" t="n"/>
      <c r="O157" s="45" t="n"/>
      <c r="P157" s="31" t="n"/>
      <c r="Q157" s="46" t="n"/>
      <c r="R157" s="46" t="n"/>
      <c r="S157" s="46" t="n"/>
      <c r="T157" s="42" t="n"/>
      <c r="V157" s="45" t="n"/>
      <c r="W157" s="45" t="n"/>
      <c r="X157" s="45" t="n"/>
      <c r="Y157" s="31" t="n"/>
      <c r="Z157" s="46" t="n"/>
      <c r="AA157" s="46" t="n"/>
      <c r="AB157" s="46" t="n"/>
      <c r="AC157" s="42" t="n"/>
      <c r="AE157" s="32" t="n"/>
      <c r="AF157" s="32" t="n"/>
      <c r="AG157" s="33" t="n"/>
      <c r="AH157" s="43" t="n"/>
      <c r="AI157" s="43" t="n"/>
      <c r="AJ157" s="44" t="n"/>
      <c r="AL157" s="35" t="n"/>
      <c r="AM157" s="35" t="n"/>
      <c r="AN157" s="35" t="n"/>
    </row>
    <row r="158">
      <c r="A158" s="27" t="n"/>
      <c r="B158" s="28" t="n"/>
      <c r="C158" s="28" t="n"/>
      <c r="D158" s="28" t="n"/>
      <c r="E158" s="45" t="n"/>
      <c r="F158" s="46" t="n"/>
      <c r="G158" s="46" t="n"/>
      <c r="H158" s="46" t="n"/>
      <c r="I158" s="46" t="n"/>
      <c r="J158" s="40" t="n"/>
      <c r="L158" s="45" t="n"/>
      <c r="M158" s="45" t="n"/>
      <c r="N158" s="45" t="n"/>
      <c r="O158" s="45" t="n"/>
      <c r="P158" s="31" t="n"/>
      <c r="Q158" s="46" t="n"/>
      <c r="R158" s="46" t="n"/>
      <c r="S158" s="46" t="n"/>
      <c r="T158" s="42" t="n"/>
      <c r="V158" s="45" t="n"/>
      <c r="W158" s="45" t="n"/>
      <c r="X158" s="45" t="n"/>
      <c r="Y158" s="31" t="n"/>
      <c r="Z158" s="46" t="n"/>
      <c r="AA158" s="46" t="n"/>
      <c r="AB158" s="46" t="n"/>
      <c r="AC158" s="42" t="n"/>
      <c r="AE158" s="32" t="n"/>
      <c r="AF158" s="32" t="n"/>
      <c r="AG158" s="33" t="n"/>
      <c r="AH158" s="43" t="n"/>
      <c r="AI158" s="43" t="n"/>
      <c r="AJ158" s="44" t="n"/>
      <c r="AL158" s="35" t="n"/>
      <c r="AM158" s="35" t="n"/>
      <c r="AN158" s="35" t="n"/>
    </row>
    <row r="159">
      <c r="A159" s="27" t="n"/>
      <c r="B159" s="28" t="n"/>
      <c r="C159" s="28" t="n"/>
      <c r="D159" s="28" t="n"/>
      <c r="E159" s="45" t="n"/>
      <c r="F159" s="46" t="n"/>
      <c r="G159" s="46" t="n"/>
      <c r="H159" s="46" t="n"/>
      <c r="I159" s="46" t="n"/>
      <c r="J159" s="40" t="n"/>
      <c r="L159" s="45" t="n"/>
      <c r="M159" s="45" t="n"/>
      <c r="N159" s="45" t="n"/>
      <c r="O159" s="45" t="n"/>
      <c r="P159" s="31" t="n"/>
      <c r="Q159" s="46" t="n"/>
      <c r="R159" s="46" t="n"/>
      <c r="S159" s="46" t="n"/>
      <c r="T159" s="42" t="n"/>
      <c r="V159" s="45" t="n"/>
      <c r="W159" s="45" t="n"/>
      <c r="X159" s="45" t="n"/>
      <c r="Y159" s="31" t="n"/>
      <c r="Z159" s="46" t="n"/>
      <c r="AA159" s="46" t="n"/>
      <c r="AB159" s="46" t="n"/>
      <c r="AC159" s="42" t="n"/>
      <c r="AE159" s="32" t="n"/>
      <c r="AF159" s="32" t="n"/>
      <c r="AG159" s="33" t="n"/>
      <c r="AH159" s="43" t="n"/>
      <c r="AI159" s="43" t="n"/>
      <c r="AJ159" s="44" t="n"/>
      <c r="AL159" s="35" t="n"/>
      <c r="AM159" s="35" t="n"/>
      <c r="AN159" s="35" t="n"/>
    </row>
    <row r="160">
      <c r="A160" s="27" t="n"/>
      <c r="B160" s="28" t="n"/>
      <c r="C160" s="28" t="n"/>
      <c r="D160" s="28" t="n"/>
      <c r="E160" s="45" t="n"/>
      <c r="F160" s="46" t="n"/>
      <c r="G160" s="46" t="n"/>
      <c r="H160" s="46" t="n"/>
      <c r="I160" s="46" t="n"/>
      <c r="J160" s="40" t="n"/>
      <c r="L160" s="45" t="n"/>
      <c r="M160" s="45" t="n"/>
      <c r="N160" s="45" t="n"/>
      <c r="O160" s="45" t="n"/>
      <c r="P160" s="31" t="n"/>
      <c r="Q160" s="46" t="n"/>
      <c r="R160" s="46" t="n"/>
      <c r="S160" s="46" t="n"/>
      <c r="T160" s="42" t="n"/>
      <c r="V160" s="45" t="n"/>
      <c r="W160" s="45" t="n"/>
      <c r="X160" s="45" t="n"/>
      <c r="Y160" s="31" t="n"/>
      <c r="Z160" s="46" t="n"/>
      <c r="AA160" s="46" t="n"/>
      <c r="AB160" s="46" t="n"/>
      <c r="AC160" s="42" t="n"/>
      <c r="AE160" s="32" t="n"/>
      <c r="AF160" s="32" t="n"/>
      <c r="AG160" s="33" t="n"/>
      <c r="AH160" s="43" t="n"/>
      <c r="AI160" s="43" t="n"/>
      <c r="AJ160" s="44" t="n"/>
      <c r="AL160" s="35" t="n"/>
      <c r="AM160" s="35" t="n"/>
      <c r="AN160" s="35" t="n"/>
    </row>
    <row r="161">
      <c r="A161" s="27" t="n"/>
      <c r="B161" s="28" t="n"/>
      <c r="C161" s="28" t="n"/>
      <c r="D161" s="28" t="n"/>
      <c r="E161" s="45" t="n"/>
      <c r="F161" s="46" t="n"/>
      <c r="G161" s="46" t="n"/>
      <c r="H161" s="46" t="n"/>
      <c r="I161" s="46" t="n"/>
      <c r="J161" s="40" t="n"/>
      <c r="L161" s="45" t="n"/>
      <c r="M161" s="45" t="n"/>
      <c r="N161" s="45" t="n"/>
      <c r="O161" s="45" t="n"/>
      <c r="P161" s="31" t="n"/>
      <c r="Q161" s="46" t="n"/>
      <c r="R161" s="46" t="n"/>
      <c r="S161" s="46" t="n"/>
      <c r="T161" s="42" t="n"/>
      <c r="V161" s="45" t="n"/>
      <c r="W161" s="45" t="n"/>
      <c r="X161" s="45" t="n"/>
      <c r="Y161" s="31" t="n"/>
      <c r="Z161" s="46" t="n"/>
      <c r="AA161" s="46" t="n"/>
      <c r="AB161" s="46" t="n"/>
      <c r="AC161" s="42" t="n"/>
      <c r="AE161" s="32" t="n"/>
      <c r="AF161" s="32" t="n"/>
      <c r="AG161" s="33" t="n"/>
      <c r="AH161" s="43" t="n"/>
      <c r="AI161" s="43" t="n"/>
      <c r="AJ161" s="44" t="n"/>
      <c r="AL161" s="35" t="n"/>
      <c r="AM161" s="35" t="n"/>
      <c r="AN161" s="35" t="n"/>
    </row>
    <row r="162">
      <c r="A162" s="27" t="n"/>
      <c r="B162" s="28" t="n"/>
      <c r="C162" s="28" t="n"/>
      <c r="D162" s="28" t="n"/>
      <c r="E162" s="45" t="n"/>
      <c r="F162" s="46" t="n"/>
      <c r="G162" s="46" t="n"/>
      <c r="H162" s="46" t="n"/>
      <c r="I162" s="46" t="n"/>
      <c r="J162" s="40" t="n"/>
      <c r="L162" s="45" t="n"/>
      <c r="M162" s="45" t="n"/>
      <c r="N162" s="45" t="n"/>
      <c r="O162" s="45" t="n"/>
      <c r="P162" s="31" t="n"/>
      <c r="Q162" s="46" t="n"/>
      <c r="R162" s="46" t="n"/>
      <c r="S162" s="46" t="n"/>
      <c r="T162" s="42" t="n"/>
      <c r="V162" s="45" t="n"/>
      <c r="W162" s="45" t="n"/>
      <c r="X162" s="45" t="n"/>
      <c r="Y162" s="31" t="n"/>
      <c r="Z162" s="46" t="n"/>
      <c r="AA162" s="46" t="n"/>
      <c r="AB162" s="46" t="n"/>
      <c r="AC162" s="42" t="n"/>
      <c r="AE162" s="32" t="n"/>
      <c r="AF162" s="32" t="n"/>
      <c r="AG162" s="33" t="n"/>
      <c r="AH162" s="43" t="n"/>
      <c r="AI162" s="43" t="n"/>
      <c r="AJ162" s="44" t="n"/>
      <c r="AL162" s="35" t="n"/>
      <c r="AM162" s="35" t="n"/>
      <c r="AN162" s="35" t="n"/>
    </row>
    <row r="163">
      <c r="A163" s="27" t="n"/>
      <c r="B163" s="28" t="n"/>
      <c r="C163" s="28" t="n"/>
      <c r="D163" s="28" t="n"/>
      <c r="E163" s="45" t="n"/>
      <c r="F163" s="46" t="n"/>
      <c r="G163" s="46" t="n"/>
      <c r="H163" s="46" t="n"/>
      <c r="I163" s="46" t="n"/>
      <c r="J163" s="40" t="n"/>
      <c r="L163" s="45" t="n"/>
      <c r="M163" s="45" t="n"/>
      <c r="N163" s="45" t="n"/>
      <c r="O163" s="45" t="n"/>
      <c r="P163" s="31" t="n"/>
      <c r="Q163" s="46" t="n"/>
      <c r="R163" s="46" t="n"/>
      <c r="S163" s="46" t="n"/>
      <c r="T163" s="42" t="n"/>
      <c r="V163" s="45" t="n"/>
      <c r="W163" s="45" t="n"/>
      <c r="X163" s="45" t="n"/>
      <c r="Y163" s="31" t="n"/>
      <c r="Z163" s="46" t="n"/>
      <c r="AA163" s="46" t="n"/>
      <c r="AB163" s="46" t="n"/>
      <c r="AC163" s="42" t="n"/>
      <c r="AE163" s="32" t="n"/>
      <c r="AF163" s="32" t="n"/>
      <c r="AG163" s="33" t="n"/>
      <c r="AH163" s="43" t="n"/>
      <c r="AI163" s="43" t="n"/>
      <c r="AJ163" s="44" t="n"/>
      <c r="AL163" s="35" t="n"/>
      <c r="AM163" s="35" t="n"/>
      <c r="AN163" s="35" t="n"/>
    </row>
    <row r="164">
      <c r="A164" s="27" t="n"/>
      <c r="B164" s="28" t="n"/>
      <c r="C164" s="28" t="n"/>
      <c r="D164" s="28" t="n"/>
      <c r="E164" s="45" t="n"/>
      <c r="F164" s="46" t="n"/>
      <c r="G164" s="46" t="n"/>
      <c r="H164" s="46" t="n"/>
      <c r="I164" s="46" t="n"/>
      <c r="J164" s="40" t="n"/>
      <c r="L164" s="45" t="n"/>
      <c r="M164" s="45" t="n"/>
      <c r="N164" s="45" t="n"/>
      <c r="O164" s="45" t="n"/>
      <c r="P164" s="31" t="n"/>
      <c r="Q164" s="46" t="n"/>
      <c r="R164" s="46" t="n"/>
      <c r="S164" s="46" t="n"/>
      <c r="T164" s="42" t="n"/>
      <c r="V164" s="45" t="n"/>
      <c r="W164" s="45" t="n"/>
      <c r="X164" s="45" t="n"/>
      <c r="Y164" s="31" t="n"/>
      <c r="Z164" s="46" t="n"/>
      <c r="AA164" s="46" t="n"/>
      <c r="AB164" s="46" t="n"/>
      <c r="AC164" s="42" t="n"/>
      <c r="AE164" s="32" t="n"/>
      <c r="AF164" s="32" t="n"/>
      <c r="AG164" s="33" t="n"/>
      <c r="AH164" s="43" t="n"/>
      <c r="AI164" s="43" t="n"/>
      <c r="AJ164" s="44" t="n"/>
      <c r="AL164" s="35" t="n"/>
      <c r="AM164" s="35" t="n"/>
      <c r="AN164" s="35" t="n"/>
    </row>
    <row r="165">
      <c r="A165" s="27" t="n"/>
      <c r="B165" s="28" t="n"/>
      <c r="C165" s="28" t="n"/>
      <c r="D165" s="28" t="n"/>
      <c r="E165" s="45" t="n"/>
      <c r="F165" s="46" t="n"/>
      <c r="G165" s="46" t="n"/>
      <c r="H165" s="46" t="n"/>
      <c r="I165" s="46" t="n"/>
      <c r="J165" s="40" t="n"/>
      <c r="L165" s="45" t="n"/>
      <c r="M165" s="45" t="n"/>
      <c r="N165" s="45" t="n"/>
      <c r="O165" s="45" t="n"/>
      <c r="P165" s="31" t="n"/>
      <c r="Q165" s="46" t="n"/>
      <c r="R165" s="46" t="n"/>
      <c r="S165" s="46" t="n"/>
      <c r="T165" s="42" t="n"/>
      <c r="V165" s="45" t="n"/>
      <c r="W165" s="45" t="n"/>
      <c r="X165" s="45" t="n"/>
      <c r="Y165" s="31" t="n"/>
      <c r="Z165" s="46" t="n"/>
      <c r="AA165" s="46" t="n"/>
      <c r="AB165" s="46" t="n"/>
      <c r="AC165" s="42" t="n"/>
      <c r="AE165" s="32" t="n"/>
      <c r="AF165" s="32" t="n"/>
      <c r="AG165" s="33" t="n"/>
      <c r="AH165" s="43" t="n"/>
      <c r="AI165" s="43" t="n"/>
      <c r="AJ165" s="44" t="n"/>
      <c r="AL165" s="35" t="n"/>
      <c r="AM165" s="35" t="n"/>
      <c r="AN165" s="35" t="n"/>
    </row>
    <row r="166">
      <c r="A166" s="27" t="n"/>
      <c r="B166" s="28" t="n"/>
      <c r="C166" s="28" t="n"/>
      <c r="D166" s="28" t="n"/>
      <c r="E166" s="45" t="n"/>
      <c r="F166" s="46" t="n"/>
      <c r="G166" s="46" t="n"/>
      <c r="H166" s="46" t="n"/>
      <c r="I166" s="46" t="n"/>
      <c r="J166" s="40" t="n"/>
      <c r="L166" s="45" t="n"/>
      <c r="M166" s="45" t="n"/>
      <c r="N166" s="45" t="n"/>
      <c r="O166" s="45" t="n"/>
      <c r="P166" s="31" t="n"/>
      <c r="Q166" s="46" t="n"/>
      <c r="R166" s="46" t="n"/>
      <c r="S166" s="46" t="n"/>
      <c r="T166" s="42" t="n"/>
      <c r="V166" s="45" t="n"/>
      <c r="W166" s="45" t="n"/>
      <c r="X166" s="45" t="n"/>
      <c r="Y166" s="31" t="n"/>
      <c r="Z166" s="46" t="n"/>
      <c r="AA166" s="46" t="n"/>
      <c r="AB166" s="46" t="n"/>
      <c r="AC166" s="42" t="n"/>
      <c r="AE166" s="32" t="n"/>
      <c r="AF166" s="32" t="n"/>
      <c r="AG166" s="33" t="n"/>
      <c r="AH166" s="43" t="n"/>
      <c r="AI166" s="43" t="n"/>
      <c r="AJ166" s="44" t="n"/>
      <c r="AL166" s="35" t="n"/>
      <c r="AM166" s="35" t="n"/>
      <c r="AN166" s="35" t="n"/>
    </row>
    <row r="167">
      <c r="A167" s="27" t="n"/>
      <c r="B167" s="28" t="n"/>
      <c r="C167" s="28" t="n"/>
      <c r="D167" s="28" t="n"/>
      <c r="E167" s="45" t="n"/>
      <c r="F167" s="46" t="n"/>
      <c r="G167" s="46" t="n"/>
      <c r="H167" s="46" t="n"/>
      <c r="I167" s="46" t="n"/>
      <c r="J167" s="40" t="n"/>
      <c r="L167" s="45" t="n"/>
      <c r="M167" s="45" t="n"/>
      <c r="N167" s="45" t="n"/>
      <c r="O167" s="45" t="n"/>
      <c r="P167" s="31" t="n"/>
      <c r="Q167" s="46" t="n"/>
      <c r="R167" s="46" t="n"/>
      <c r="S167" s="46" t="n"/>
      <c r="T167" s="42" t="n"/>
      <c r="V167" s="45" t="n"/>
      <c r="W167" s="45" t="n"/>
      <c r="X167" s="45" t="n"/>
      <c r="Y167" s="31" t="n"/>
      <c r="Z167" s="46" t="n"/>
      <c r="AA167" s="46" t="n"/>
      <c r="AB167" s="46" t="n"/>
      <c r="AC167" s="42" t="n"/>
      <c r="AE167" s="32" t="n"/>
      <c r="AF167" s="32" t="n"/>
      <c r="AG167" s="33" t="n"/>
      <c r="AH167" s="43" t="n"/>
      <c r="AI167" s="43" t="n"/>
      <c r="AJ167" s="44" t="n"/>
      <c r="AL167" s="35" t="n"/>
      <c r="AM167" s="35" t="n"/>
      <c r="AN167" s="35" t="n"/>
    </row>
    <row r="168">
      <c r="A168" s="27" t="n"/>
      <c r="B168" s="28" t="n"/>
      <c r="C168" s="28" t="n"/>
      <c r="D168" s="28" t="n"/>
      <c r="E168" s="45" t="n"/>
      <c r="F168" s="46" t="n"/>
      <c r="G168" s="46" t="n"/>
      <c r="H168" s="46" t="n"/>
      <c r="I168" s="46" t="n"/>
      <c r="J168" s="40" t="n"/>
      <c r="L168" s="45" t="n"/>
      <c r="M168" s="45" t="n"/>
      <c r="N168" s="45" t="n"/>
      <c r="O168" s="45" t="n"/>
      <c r="P168" s="31" t="n"/>
      <c r="Q168" s="46" t="n"/>
      <c r="R168" s="46" t="n"/>
      <c r="S168" s="46" t="n"/>
      <c r="T168" s="42" t="n"/>
      <c r="V168" s="45" t="n"/>
      <c r="W168" s="45" t="n"/>
      <c r="X168" s="45" t="n"/>
      <c r="Y168" s="31" t="n"/>
      <c r="Z168" s="46" t="n"/>
      <c r="AA168" s="46" t="n"/>
      <c r="AB168" s="46" t="n"/>
      <c r="AC168" s="42" t="n"/>
      <c r="AE168" s="32" t="n"/>
      <c r="AF168" s="32" t="n"/>
      <c r="AG168" s="33" t="n"/>
      <c r="AH168" s="43" t="n"/>
      <c r="AI168" s="43" t="n"/>
      <c r="AJ168" s="44" t="n"/>
      <c r="AL168" s="35" t="n"/>
      <c r="AM168" s="35" t="n"/>
      <c r="AN168" s="35" t="n"/>
    </row>
    <row r="169">
      <c r="A169" s="27" t="n"/>
      <c r="B169" s="28" t="n"/>
      <c r="C169" s="28" t="n"/>
      <c r="D169" s="28" t="n"/>
      <c r="E169" s="45" t="n"/>
      <c r="F169" s="46" t="n"/>
      <c r="G169" s="46" t="n"/>
      <c r="H169" s="46" t="n"/>
      <c r="I169" s="46" t="n"/>
      <c r="J169" s="40" t="n"/>
      <c r="L169" s="45" t="n"/>
      <c r="M169" s="45" t="n"/>
      <c r="N169" s="45" t="n"/>
      <c r="O169" s="45" t="n"/>
      <c r="P169" s="31" t="n"/>
      <c r="Q169" s="46" t="n"/>
      <c r="R169" s="46" t="n"/>
      <c r="S169" s="46" t="n"/>
      <c r="T169" s="42" t="n"/>
      <c r="V169" s="45" t="n"/>
      <c r="W169" s="45" t="n"/>
      <c r="X169" s="45" t="n"/>
      <c r="Y169" s="31" t="n"/>
      <c r="Z169" s="46" t="n"/>
      <c r="AA169" s="46" t="n"/>
      <c r="AB169" s="46" t="n"/>
      <c r="AC169" s="42" t="n"/>
      <c r="AE169" s="32" t="n"/>
      <c r="AF169" s="32" t="n"/>
      <c r="AG169" s="33" t="n"/>
      <c r="AH169" s="43" t="n"/>
      <c r="AI169" s="43" t="n"/>
      <c r="AJ169" s="44" t="n"/>
      <c r="AL169" s="35" t="n"/>
      <c r="AM169" s="35" t="n"/>
      <c r="AN169" s="35" t="n"/>
    </row>
    <row r="170">
      <c r="A170" s="27" t="n"/>
      <c r="B170" s="28" t="n"/>
      <c r="C170" s="28" t="n"/>
      <c r="D170" s="28" t="n"/>
      <c r="E170" s="45" t="n"/>
      <c r="F170" s="46" t="n"/>
      <c r="G170" s="46" t="n"/>
      <c r="H170" s="46" t="n"/>
      <c r="I170" s="46" t="n"/>
      <c r="J170" s="40" t="n"/>
      <c r="L170" s="45" t="n"/>
      <c r="M170" s="45" t="n"/>
      <c r="N170" s="45" t="n"/>
      <c r="O170" s="45" t="n"/>
      <c r="P170" s="31" t="n"/>
      <c r="Q170" s="46" t="n"/>
      <c r="R170" s="46" t="n"/>
      <c r="S170" s="46" t="n"/>
      <c r="T170" s="42" t="n"/>
      <c r="V170" s="45" t="n"/>
      <c r="W170" s="45" t="n"/>
      <c r="X170" s="45" t="n"/>
      <c r="Y170" s="31" t="n"/>
      <c r="Z170" s="46" t="n"/>
      <c r="AA170" s="46" t="n"/>
      <c r="AB170" s="46" t="n"/>
      <c r="AC170" s="42" t="n"/>
      <c r="AE170" s="32" t="n"/>
      <c r="AF170" s="32" t="n"/>
      <c r="AG170" s="33" t="n"/>
      <c r="AH170" s="43" t="n"/>
      <c r="AI170" s="43" t="n"/>
      <c r="AJ170" s="44" t="n"/>
      <c r="AL170" s="35" t="n"/>
      <c r="AM170" s="35" t="n"/>
      <c r="AN170" s="35" t="n"/>
    </row>
    <row r="171">
      <c r="A171" s="27" t="n"/>
      <c r="B171" s="28" t="n"/>
      <c r="C171" s="28" t="n"/>
      <c r="D171" s="28" t="n"/>
      <c r="E171" s="45" t="n"/>
      <c r="F171" s="46" t="n"/>
      <c r="G171" s="46" t="n"/>
      <c r="H171" s="46" t="n"/>
      <c r="I171" s="46" t="n"/>
      <c r="J171" s="40" t="n"/>
      <c r="L171" s="45" t="n"/>
      <c r="M171" s="45" t="n"/>
      <c r="N171" s="45" t="n"/>
      <c r="O171" s="45" t="n"/>
      <c r="P171" s="31" t="n"/>
      <c r="Q171" s="46" t="n"/>
      <c r="R171" s="46" t="n"/>
      <c r="S171" s="46" t="n"/>
      <c r="T171" s="42" t="n"/>
      <c r="V171" s="45" t="n"/>
      <c r="W171" s="45" t="n"/>
      <c r="X171" s="45" t="n"/>
      <c r="Y171" s="31" t="n"/>
      <c r="Z171" s="46" t="n"/>
      <c r="AA171" s="46" t="n"/>
      <c r="AB171" s="46" t="n"/>
      <c r="AC171" s="42" t="n"/>
      <c r="AE171" s="32" t="n"/>
      <c r="AF171" s="32" t="n"/>
      <c r="AG171" s="33" t="n"/>
      <c r="AH171" s="43" t="n"/>
      <c r="AI171" s="43" t="n"/>
      <c r="AJ171" s="44" t="n"/>
      <c r="AL171" s="35" t="n"/>
      <c r="AM171" s="35" t="n"/>
      <c r="AN171" s="35" t="n"/>
    </row>
    <row r="172">
      <c r="A172" s="27" t="n"/>
      <c r="B172" s="28" t="n"/>
      <c r="C172" s="28" t="n"/>
      <c r="D172" s="28" t="n"/>
      <c r="E172" s="45" t="n"/>
      <c r="F172" s="46" t="n"/>
      <c r="G172" s="46" t="n"/>
      <c r="H172" s="46" t="n"/>
      <c r="I172" s="46" t="n"/>
      <c r="J172" s="40" t="n"/>
      <c r="L172" s="45" t="n"/>
      <c r="M172" s="45" t="n"/>
      <c r="N172" s="45" t="n"/>
      <c r="O172" s="45" t="n"/>
      <c r="P172" s="31" t="n"/>
      <c r="Q172" s="46" t="n"/>
      <c r="R172" s="46" t="n"/>
      <c r="S172" s="46" t="n"/>
      <c r="T172" s="42" t="n"/>
      <c r="V172" s="45" t="n"/>
      <c r="W172" s="45" t="n"/>
      <c r="X172" s="45" t="n"/>
      <c r="Y172" s="31" t="n"/>
      <c r="Z172" s="46" t="n"/>
      <c r="AA172" s="46" t="n"/>
      <c r="AB172" s="46" t="n"/>
      <c r="AC172" s="42" t="n"/>
      <c r="AE172" s="32" t="n"/>
      <c r="AF172" s="32" t="n"/>
      <c r="AG172" s="33" t="n"/>
      <c r="AH172" s="43" t="n"/>
      <c r="AI172" s="43" t="n"/>
      <c r="AJ172" s="44" t="n"/>
      <c r="AL172" s="35" t="n"/>
      <c r="AM172" s="35" t="n"/>
      <c r="AN172" s="35" t="n"/>
    </row>
    <row r="173">
      <c r="A173" s="27" t="n"/>
      <c r="B173" s="28" t="n"/>
      <c r="C173" s="28" t="n"/>
      <c r="D173" s="28" t="n"/>
      <c r="E173" s="45" t="n"/>
      <c r="F173" s="46" t="n"/>
      <c r="G173" s="46" t="n"/>
      <c r="H173" s="46" t="n"/>
      <c r="I173" s="46" t="n"/>
      <c r="J173" s="40" t="n"/>
      <c r="L173" s="45" t="n"/>
      <c r="M173" s="45" t="n"/>
      <c r="N173" s="45" t="n"/>
      <c r="O173" s="45" t="n"/>
      <c r="P173" s="31" t="n"/>
      <c r="Q173" s="46" t="n"/>
      <c r="R173" s="46" t="n"/>
      <c r="S173" s="46" t="n"/>
      <c r="T173" s="42" t="n"/>
      <c r="V173" s="45" t="n"/>
      <c r="W173" s="45" t="n"/>
      <c r="X173" s="45" t="n"/>
      <c r="Y173" s="31" t="n"/>
      <c r="Z173" s="46" t="n"/>
      <c r="AA173" s="46" t="n"/>
      <c r="AB173" s="46" t="n"/>
      <c r="AC173" s="42" t="n"/>
      <c r="AE173" s="32" t="n"/>
      <c r="AF173" s="32" t="n"/>
      <c r="AG173" s="33" t="n"/>
      <c r="AH173" s="43" t="n"/>
      <c r="AI173" s="43" t="n"/>
      <c r="AJ173" s="44" t="n"/>
      <c r="AL173" s="35" t="n"/>
      <c r="AM173" s="35" t="n"/>
      <c r="AN173" s="35" t="n"/>
    </row>
    <row r="174">
      <c r="A174" s="27" t="n"/>
      <c r="B174" s="28" t="n"/>
      <c r="C174" s="28" t="n"/>
      <c r="D174" s="28" t="n"/>
      <c r="E174" s="45" t="n"/>
      <c r="F174" s="46" t="n"/>
      <c r="G174" s="46" t="n"/>
      <c r="H174" s="46" t="n"/>
      <c r="I174" s="46" t="n"/>
      <c r="J174" s="40" t="n"/>
      <c r="L174" s="45" t="n"/>
      <c r="M174" s="45" t="n"/>
      <c r="N174" s="45" t="n"/>
      <c r="O174" s="45" t="n"/>
      <c r="P174" s="31" t="n"/>
      <c r="Q174" s="46" t="n"/>
      <c r="R174" s="46" t="n"/>
      <c r="S174" s="46" t="n"/>
      <c r="T174" s="42" t="n"/>
      <c r="V174" s="45" t="n"/>
      <c r="W174" s="45" t="n"/>
      <c r="X174" s="45" t="n"/>
      <c r="Y174" s="31" t="n"/>
      <c r="Z174" s="46" t="n"/>
      <c r="AA174" s="46" t="n"/>
      <c r="AB174" s="46" t="n"/>
      <c r="AC174" s="42" t="n"/>
      <c r="AE174" s="32" t="n"/>
      <c r="AF174" s="32" t="n"/>
      <c r="AG174" s="33" t="n"/>
      <c r="AH174" s="43" t="n"/>
      <c r="AI174" s="43" t="n"/>
      <c r="AJ174" s="44" t="n"/>
      <c r="AL174" s="35" t="n"/>
      <c r="AM174" s="35" t="n"/>
      <c r="AN174" s="35" t="n"/>
    </row>
    <row r="175">
      <c r="A175" s="27" t="n"/>
      <c r="B175" s="28" t="n"/>
      <c r="C175" s="28" t="n"/>
      <c r="D175" s="28" t="n"/>
      <c r="E175" s="45" t="n"/>
      <c r="F175" s="46" t="n"/>
      <c r="G175" s="46" t="n"/>
      <c r="H175" s="46" t="n"/>
      <c r="I175" s="46" t="n"/>
      <c r="J175" s="40" t="n"/>
      <c r="L175" s="45" t="n"/>
      <c r="M175" s="45" t="n"/>
      <c r="N175" s="45" t="n"/>
      <c r="O175" s="45" t="n"/>
      <c r="P175" s="31" t="n"/>
      <c r="Q175" s="46" t="n"/>
      <c r="R175" s="46" t="n"/>
      <c r="S175" s="46" t="n"/>
      <c r="T175" s="42" t="n"/>
      <c r="V175" s="45" t="n"/>
      <c r="W175" s="45" t="n"/>
      <c r="X175" s="45" t="n"/>
      <c r="Y175" s="31" t="n"/>
      <c r="Z175" s="46" t="n"/>
      <c r="AA175" s="46" t="n"/>
      <c r="AB175" s="46" t="n"/>
      <c r="AC175" s="42" t="n"/>
      <c r="AE175" s="32" t="n"/>
      <c r="AF175" s="32" t="n"/>
      <c r="AG175" s="33" t="n"/>
      <c r="AH175" s="43" t="n"/>
      <c r="AI175" s="43" t="n"/>
      <c r="AJ175" s="44" t="n"/>
      <c r="AL175" s="35" t="n"/>
      <c r="AM175" s="35" t="n"/>
      <c r="AN175" s="35" t="n"/>
    </row>
    <row r="176">
      <c r="A176" s="27" t="n"/>
      <c r="B176" s="28" t="n"/>
      <c r="C176" s="28" t="n"/>
      <c r="D176" s="28" t="n"/>
      <c r="E176" s="45" t="n"/>
      <c r="F176" s="46" t="n"/>
      <c r="G176" s="46" t="n"/>
      <c r="H176" s="46" t="n"/>
      <c r="I176" s="46" t="n"/>
      <c r="J176" s="40" t="n"/>
      <c r="L176" s="45" t="n"/>
      <c r="M176" s="45" t="n"/>
      <c r="N176" s="45" t="n"/>
      <c r="O176" s="45" t="n"/>
      <c r="P176" s="31" t="n"/>
      <c r="Q176" s="46" t="n"/>
      <c r="R176" s="46" t="n"/>
      <c r="S176" s="46" t="n"/>
      <c r="T176" s="42" t="n"/>
      <c r="V176" s="45" t="n"/>
      <c r="W176" s="45" t="n"/>
      <c r="X176" s="45" t="n"/>
      <c r="Y176" s="31" t="n"/>
      <c r="Z176" s="46" t="n"/>
      <c r="AA176" s="46" t="n"/>
      <c r="AB176" s="46" t="n"/>
      <c r="AC176" s="42" t="n"/>
      <c r="AE176" s="32" t="n"/>
      <c r="AF176" s="32" t="n"/>
      <c r="AG176" s="33" t="n"/>
      <c r="AH176" s="43" t="n"/>
      <c r="AI176" s="43" t="n"/>
      <c r="AJ176" s="44" t="n"/>
      <c r="AL176" s="35" t="n"/>
      <c r="AM176" s="35" t="n"/>
      <c r="AN176" s="35" t="n"/>
    </row>
    <row r="177">
      <c r="A177" s="27" t="n"/>
      <c r="B177" s="28" t="n"/>
      <c r="C177" s="28" t="n"/>
      <c r="D177" s="28" t="n"/>
      <c r="E177" s="45" t="n"/>
      <c r="F177" s="46" t="n"/>
      <c r="G177" s="46" t="n"/>
      <c r="H177" s="46" t="n"/>
      <c r="I177" s="46" t="n"/>
      <c r="J177" s="40" t="n"/>
      <c r="L177" s="45" t="n"/>
      <c r="M177" s="45" t="n"/>
      <c r="N177" s="45" t="n"/>
      <c r="O177" s="45" t="n"/>
      <c r="P177" s="31" t="n"/>
      <c r="Q177" s="46" t="n"/>
      <c r="R177" s="46" t="n"/>
      <c r="S177" s="46" t="n"/>
      <c r="T177" s="42" t="n"/>
      <c r="V177" s="45" t="n"/>
      <c r="W177" s="45" t="n"/>
      <c r="X177" s="45" t="n"/>
      <c r="Y177" s="31" t="n"/>
      <c r="Z177" s="46" t="n"/>
      <c r="AA177" s="46" t="n"/>
      <c r="AB177" s="46" t="n"/>
      <c r="AC177" s="42" t="n"/>
      <c r="AE177" s="32" t="n"/>
      <c r="AF177" s="32" t="n"/>
      <c r="AG177" s="33" t="n"/>
      <c r="AH177" s="43" t="n"/>
      <c r="AI177" s="43" t="n"/>
      <c r="AJ177" s="44" t="n"/>
      <c r="AL177" s="35" t="n"/>
      <c r="AM177" s="35" t="n"/>
      <c r="AN177" s="35" t="n"/>
    </row>
    <row r="178">
      <c r="A178" s="27" t="n"/>
      <c r="B178" s="28" t="n"/>
      <c r="C178" s="28" t="n"/>
      <c r="D178" s="28" t="n"/>
      <c r="E178" s="45" t="n"/>
      <c r="F178" s="46" t="n"/>
      <c r="G178" s="46" t="n"/>
      <c r="H178" s="46" t="n"/>
      <c r="I178" s="46" t="n"/>
      <c r="J178" s="40" t="n"/>
      <c r="L178" s="45" t="n"/>
      <c r="M178" s="45" t="n"/>
      <c r="N178" s="45" t="n"/>
      <c r="O178" s="45" t="n"/>
      <c r="P178" s="31" t="n"/>
      <c r="Q178" s="46" t="n"/>
      <c r="R178" s="46" t="n"/>
      <c r="S178" s="46" t="n"/>
      <c r="T178" s="42" t="n"/>
      <c r="V178" s="45" t="n"/>
      <c r="W178" s="45" t="n"/>
      <c r="X178" s="45" t="n"/>
      <c r="Y178" s="31" t="n"/>
      <c r="Z178" s="46" t="n"/>
      <c r="AA178" s="46" t="n"/>
      <c r="AB178" s="46" t="n"/>
      <c r="AC178" s="42" t="n"/>
      <c r="AE178" s="32" t="n"/>
      <c r="AF178" s="32" t="n"/>
      <c r="AG178" s="33" t="n"/>
      <c r="AH178" s="43" t="n"/>
      <c r="AI178" s="43" t="n"/>
      <c r="AJ178" s="44" t="n"/>
      <c r="AL178" s="35" t="n"/>
      <c r="AM178" s="35" t="n"/>
      <c r="AN178" s="35" t="n"/>
    </row>
    <row r="179">
      <c r="A179" s="27" t="n"/>
      <c r="B179" s="28" t="n"/>
      <c r="C179" s="28" t="n"/>
      <c r="D179" s="28" t="n"/>
      <c r="E179" s="45" t="n"/>
      <c r="F179" s="46" t="n"/>
      <c r="G179" s="46" t="n"/>
      <c r="H179" s="46" t="n"/>
      <c r="I179" s="46" t="n"/>
      <c r="J179" s="40" t="n"/>
      <c r="L179" s="45" t="n"/>
      <c r="M179" s="45" t="n"/>
      <c r="N179" s="45" t="n"/>
      <c r="O179" s="45" t="n"/>
      <c r="P179" s="31" t="n"/>
      <c r="Q179" s="46" t="n"/>
      <c r="R179" s="46" t="n"/>
      <c r="S179" s="46" t="n"/>
      <c r="T179" s="42" t="n"/>
      <c r="V179" s="45" t="n"/>
      <c r="W179" s="45" t="n"/>
      <c r="X179" s="45" t="n"/>
      <c r="Y179" s="31" t="n"/>
      <c r="Z179" s="46" t="n"/>
      <c r="AA179" s="46" t="n"/>
      <c r="AB179" s="46" t="n"/>
      <c r="AC179" s="42" t="n"/>
      <c r="AE179" s="32" t="n"/>
      <c r="AF179" s="32" t="n"/>
      <c r="AG179" s="33" t="n"/>
      <c r="AH179" s="43" t="n"/>
      <c r="AI179" s="43" t="n"/>
      <c r="AJ179" s="44" t="n"/>
      <c r="AL179" s="35" t="n"/>
      <c r="AM179" s="35" t="n"/>
      <c r="AN179" s="35" t="n"/>
    </row>
    <row r="180">
      <c r="A180" s="27" t="n"/>
      <c r="B180" s="28" t="n"/>
      <c r="C180" s="28" t="n"/>
      <c r="D180" s="28" t="n"/>
      <c r="E180" s="45" t="n"/>
      <c r="F180" s="46" t="n"/>
      <c r="G180" s="46" t="n"/>
      <c r="H180" s="46" t="n"/>
      <c r="I180" s="46" t="n"/>
      <c r="J180" s="40" t="n"/>
      <c r="L180" s="45" t="n"/>
      <c r="M180" s="45" t="n"/>
      <c r="N180" s="45" t="n"/>
      <c r="O180" s="45" t="n"/>
      <c r="P180" s="31" t="n"/>
      <c r="Q180" s="46" t="n"/>
      <c r="R180" s="46" t="n"/>
      <c r="S180" s="46" t="n"/>
      <c r="T180" s="42" t="n"/>
      <c r="V180" s="45" t="n"/>
      <c r="W180" s="45" t="n"/>
      <c r="X180" s="45" t="n"/>
      <c r="Y180" s="31" t="n"/>
      <c r="Z180" s="46" t="n"/>
      <c r="AA180" s="46" t="n"/>
      <c r="AB180" s="46" t="n"/>
      <c r="AC180" s="42" t="n"/>
      <c r="AE180" s="32" t="n"/>
      <c r="AF180" s="32" t="n"/>
      <c r="AG180" s="33" t="n"/>
      <c r="AH180" s="43" t="n"/>
      <c r="AI180" s="43" t="n"/>
      <c r="AJ180" s="44" t="n"/>
      <c r="AL180" s="35" t="n"/>
      <c r="AM180" s="35" t="n"/>
      <c r="AN180" s="35" t="n"/>
    </row>
    <row r="181">
      <c r="A181" s="27" t="n"/>
      <c r="B181" s="28" t="n"/>
      <c r="C181" s="28" t="n"/>
      <c r="D181" s="28" t="n"/>
      <c r="E181" s="45" t="n"/>
      <c r="F181" s="46" t="n"/>
      <c r="G181" s="46" t="n"/>
      <c r="H181" s="46" t="n"/>
      <c r="I181" s="46" t="n"/>
      <c r="J181" s="40" t="n"/>
      <c r="L181" s="45" t="n"/>
      <c r="M181" s="45" t="n"/>
      <c r="N181" s="45" t="n"/>
      <c r="O181" s="45" t="n"/>
      <c r="P181" s="31" t="n"/>
      <c r="Q181" s="46" t="n"/>
      <c r="R181" s="46" t="n"/>
      <c r="S181" s="46" t="n"/>
      <c r="T181" s="42" t="n"/>
      <c r="V181" s="45" t="n"/>
      <c r="W181" s="45" t="n"/>
      <c r="X181" s="45" t="n"/>
      <c r="Y181" s="31" t="n"/>
      <c r="Z181" s="46" t="n"/>
      <c r="AA181" s="46" t="n"/>
      <c r="AB181" s="46" t="n"/>
      <c r="AC181" s="42" t="n"/>
      <c r="AE181" s="32" t="n"/>
      <c r="AF181" s="32" t="n"/>
      <c r="AG181" s="33" t="n"/>
      <c r="AH181" s="43" t="n"/>
      <c r="AI181" s="43" t="n"/>
      <c r="AJ181" s="44" t="n"/>
      <c r="AL181" s="35" t="n"/>
      <c r="AM181" s="35" t="n"/>
      <c r="AN181" s="35" t="n"/>
    </row>
    <row r="182">
      <c r="A182" s="27" t="n"/>
      <c r="B182" s="28" t="n"/>
      <c r="C182" s="28" t="n"/>
      <c r="D182" s="28" t="n"/>
      <c r="E182" s="45" t="n"/>
      <c r="F182" s="46" t="n"/>
      <c r="G182" s="46" t="n"/>
      <c r="H182" s="46" t="n"/>
      <c r="I182" s="46" t="n"/>
      <c r="J182" s="40" t="n"/>
      <c r="L182" s="45" t="n"/>
      <c r="M182" s="45" t="n"/>
      <c r="N182" s="45" t="n"/>
      <c r="O182" s="45" t="n"/>
      <c r="P182" s="31" t="n"/>
      <c r="Q182" s="46" t="n"/>
      <c r="R182" s="46" t="n"/>
      <c r="S182" s="46" t="n"/>
      <c r="T182" s="42" t="n"/>
      <c r="V182" s="45" t="n"/>
      <c r="W182" s="45" t="n"/>
      <c r="X182" s="45" t="n"/>
      <c r="Y182" s="31" t="n"/>
      <c r="Z182" s="46" t="n"/>
      <c r="AA182" s="46" t="n"/>
      <c r="AB182" s="46" t="n"/>
      <c r="AC182" s="42" t="n"/>
      <c r="AE182" s="32" t="n"/>
      <c r="AF182" s="32" t="n"/>
      <c r="AG182" s="33" t="n"/>
      <c r="AH182" s="43" t="n"/>
      <c r="AI182" s="43" t="n"/>
      <c r="AJ182" s="44" t="n"/>
      <c r="AL182" s="35" t="n"/>
      <c r="AM182" s="35" t="n"/>
      <c r="AN182" s="35" t="n"/>
    </row>
    <row r="183">
      <c r="A183" s="27" t="n"/>
      <c r="B183" s="28" t="n"/>
      <c r="C183" s="28" t="n"/>
      <c r="D183" s="28" t="n"/>
      <c r="E183" s="45" t="n"/>
      <c r="F183" s="46" t="n"/>
      <c r="G183" s="46" t="n"/>
      <c r="H183" s="46" t="n"/>
      <c r="I183" s="46" t="n"/>
      <c r="J183" s="40" t="n"/>
      <c r="L183" s="45" t="n"/>
      <c r="M183" s="45" t="n"/>
      <c r="N183" s="45" t="n"/>
      <c r="O183" s="45" t="n"/>
      <c r="P183" s="31" t="n"/>
      <c r="Q183" s="46" t="n"/>
      <c r="R183" s="46" t="n"/>
      <c r="S183" s="46" t="n"/>
      <c r="T183" s="42" t="n"/>
      <c r="V183" s="45" t="n"/>
      <c r="W183" s="45" t="n"/>
      <c r="X183" s="45" t="n"/>
      <c r="Y183" s="31" t="n"/>
      <c r="Z183" s="46" t="n"/>
      <c r="AA183" s="46" t="n"/>
      <c r="AB183" s="46" t="n"/>
      <c r="AC183" s="42" t="n"/>
      <c r="AE183" s="32" t="n"/>
      <c r="AF183" s="32" t="n"/>
      <c r="AG183" s="33" t="n"/>
      <c r="AH183" s="43" t="n"/>
      <c r="AI183" s="43" t="n"/>
      <c r="AJ183" s="44" t="n"/>
      <c r="AL183" s="35" t="n"/>
      <c r="AM183" s="35" t="n"/>
      <c r="AN183" s="35" t="n"/>
    </row>
    <row r="184">
      <c r="A184" s="27" t="n"/>
      <c r="B184" s="28" t="n"/>
      <c r="C184" s="28" t="n"/>
      <c r="D184" s="28" t="n"/>
      <c r="E184" s="45" t="n"/>
      <c r="F184" s="46" t="n"/>
      <c r="G184" s="46" t="n"/>
      <c r="H184" s="46" t="n"/>
      <c r="I184" s="46" t="n"/>
      <c r="J184" s="40" t="n"/>
      <c r="L184" s="45" t="n"/>
      <c r="M184" s="45" t="n"/>
      <c r="N184" s="45" t="n"/>
      <c r="O184" s="45" t="n"/>
      <c r="P184" s="31" t="n"/>
      <c r="Q184" s="46" t="n"/>
      <c r="R184" s="46" t="n"/>
      <c r="S184" s="46" t="n"/>
      <c r="T184" s="42" t="n"/>
      <c r="V184" s="45" t="n"/>
      <c r="W184" s="45" t="n"/>
      <c r="X184" s="45" t="n"/>
      <c r="Y184" s="31" t="n"/>
      <c r="Z184" s="46" t="n"/>
      <c r="AA184" s="46" t="n"/>
      <c r="AB184" s="46" t="n"/>
      <c r="AC184" s="42" t="n"/>
      <c r="AE184" s="32" t="n"/>
      <c r="AF184" s="32" t="n"/>
      <c r="AG184" s="33" t="n"/>
      <c r="AH184" s="43" t="n"/>
      <c r="AI184" s="43" t="n"/>
      <c r="AJ184" s="44" t="n"/>
      <c r="AL184" s="35" t="n"/>
      <c r="AM184" s="35" t="n"/>
      <c r="AN184" s="35" t="n"/>
    </row>
    <row r="185">
      <c r="A185" s="27" t="n"/>
      <c r="B185" s="28" t="n"/>
      <c r="C185" s="28" t="n"/>
      <c r="D185" s="28" t="n"/>
      <c r="E185" s="45" t="n"/>
      <c r="F185" s="46" t="n"/>
      <c r="G185" s="46" t="n"/>
      <c r="H185" s="46" t="n"/>
      <c r="I185" s="46" t="n"/>
      <c r="J185" s="40" t="n"/>
      <c r="L185" s="45" t="n"/>
      <c r="M185" s="45" t="n"/>
      <c r="N185" s="45" t="n"/>
      <c r="O185" s="45" t="n"/>
      <c r="P185" s="31" t="n"/>
      <c r="Q185" s="46" t="n"/>
      <c r="R185" s="46" t="n"/>
      <c r="S185" s="46" t="n"/>
      <c r="T185" s="42" t="n"/>
      <c r="V185" s="45" t="n"/>
      <c r="W185" s="45" t="n"/>
      <c r="X185" s="45" t="n"/>
      <c r="Y185" s="31" t="n"/>
      <c r="Z185" s="46" t="n"/>
      <c r="AA185" s="46" t="n"/>
      <c r="AB185" s="46" t="n"/>
      <c r="AC185" s="42" t="n"/>
      <c r="AE185" s="32" t="n"/>
      <c r="AF185" s="32" t="n"/>
      <c r="AG185" s="33" t="n"/>
      <c r="AH185" s="43" t="n"/>
      <c r="AI185" s="43" t="n"/>
      <c r="AJ185" s="44" t="n"/>
      <c r="AL185" s="35" t="n"/>
      <c r="AM185" s="35" t="n"/>
      <c r="AN185" s="35" t="n"/>
    </row>
    <row r="186">
      <c r="A186" s="27" t="n"/>
      <c r="B186" s="28" t="n"/>
      <c r="C186" s="28" t="n"/>
      <c r="D186" s="28" t="n"/>
      <c r="E186" s="45" t="n"/>
      <c r="F186" s="46" t="n"/>
      <c r="G186" s="46" t="n"/>
      <c r="H186" s="46" t="n"/>
      <c r="I186" s="46" t="n"/>
      <c r="J186" s="40" t="n"/>
      <c r="L186" s="45" t="n"/>
      <c r="M186" s="45" t="n"/>
      <c r="N186" s="45" t="n"/>
      <c r="O186" s="45" t="n"/>
      <c r="P186" s="31" t="n"/>
      <c r="Q186" s="46" t="n"/>
      <c r="R186" s="46" t="n"/>
      <c r="S186" s="46" t="n"/>
      <c r="T186" s="42" t="n"/>
      <c r="V186" s="45" t="n"/>
      <c r="W186" s="45" t="n"/>
      <c r="X186" s="45" t="n"/>
      <c r="Y186" s="31" t="n"/>
      <c r="Z186" s="46" t="n"/>
      <c r="AA186" s="46" t="n"/>
      <c r="AB186" s="46" t="n"/>
      <c r="AC186" s="42" t="n"/>
      <c r="AE186" s="32" t="n"/>
      <c r="AF186" s="32" t="n"/>
      <c r="AG186" s="33" t="n"/>
      <c r="AH186" s="43" t="n"/>
      <c r="AI186" s="43" t="n"/>
      <c r="AJ186" s="44" t="n"/>
      <c r="AL186" s="35" t="n"/>
      <c r="AM186" s="35" t="n"/>
      <c r="AN186" s="35" t="n"/>
    </row>
    <row r="187">
      <c r="A187" s="27" t="n"/>
      <c r="B187" s="28" t="n"/>
      <c r="C187" s="28" t="n"/>
      <c r="D187" s="28" t="n"/>
      <c r="E187" s="45" t="n"/>
      <c r="F187" s="46" t="n"/>
      <c r="G187" s="46" t="n"/>
      <c r="H187" s="46" t="n"/>
      <c r="I187" s="46" t="n"/>
      <c r="J187" s="40" t="n"/>
      <c r="L187" s="45" t="n"/>
      <c r="M187" s="45" t="n"/>
      <c r="N187" s="45" t="n"/>
      <c r="O187" s="45" t="n"/>
      <c r="P187" s="31" t="n"/>
      <c r="Q187" s="46" t="n"/>
      <c r="R187" s="46" t="n"/>
      <c r="S187" s="46" t="n"/>
      <c r="T187" s="42" t="n"/>
      <c r="V187" s="45" t="n"/>
      <c r="W187" s="45" t="n"/>
      <c r="X187" s="45" t="n"/>
      <c r="Y187" s="31" t="n"/>
      <c r="Z187" s="46" t="n"/>
      <c r="AA187" s="46" t="n"/>
      <c r="AB187" s="46" t="n"/>
      <c r="AC187" s="42" t="n"/>
      <c r="AE187" s="32" t="n"/>
      <c r="AF187" s="32" t="n"/>
      <c r="AG187" s="33" t="n"/>
      <c r="AH187" s="43" t="n"/>
      <c r="AI187" s="43" t="n"/>
      <c r="AJ187" s="44" t="n"/>
      <c r="AL187" s="35" t="n"/>
      <c r="AM187" s="35" t="n"/>
      <c r="AN187" s="35" t="n"/>
    </row>
    <row r="188">
      <c r="A188" s="27" t="n"/>
      <c r="B188" s="28" t="n"/>
      <c r="C188" s="28" t="n"/>
      <c r="D188" s="28" t="n"/>
      <c r="E188" s="45" t="n"/>
      <c r="F188" s="46" t="n"/>
      <c r="G188" s="46" t="n"/>
      <c r="H188" s="46" t="n"/>
      <c r="I188" s="46" t="n"/>
      <c r="J188" s="40" t="n"/>
      <c r="L188" s="45" t="n"/>
      <c r="M188" s="45" t="n"/>
      <c r="N188" s="45" t="n"/>
      <c r="O188" s="45" t="n"/>
      <c r="P188" s="31" t="n"/>
      <c r="Q188" s="46" t="n"/>
      <c r="R188" s="46" t="n"/>
      <c r="S188" s="46" t="n"/>
      <c r="T188" s="42" t="n"/>
      <c r="V188" s="45" t="n"/>
      <c r="W188" s="45" t="n"/>
      <c r="X188" s="45" t="n"/>
      <c r="Y188" s="31" t="n"/>
      <c r="Z188" s="46" t="n"/>
      <c r="AA188" s="46" t="n"/>
      <c r="AB188" s="46" t="n"/>
      <c r="AC188" s="42" t="n"/>
      <c r="AE188" s="32" t="n"/>
      <c r="AF188" s="32" t="n"/>
      <c r="AG188" s="33" t="n"/>
      <c r="AH188" s="43" t="n"/>
      <c r="AI188" s="43" t="n"/>
      <c r="AJ188" s="44" t="n"/>
      <c r="AL188" s="35" t="n"/>
      <c r="AM188" s="35" t="n"/>
      <c r="AN188" s="35" t="n"/>
    </row>
    <row r="189">
      <c r="A189" s="27" t="n"/>
      <c r="B189" s="28" t="n"/>
      <c r="C189" s="28" t="n"/>
      <c r="D189" s="28" t="n"/>
      <c r="E189" s="45" t="n"/>
      <c r="F189" s="46" t="n"/>
      <c r="G189" s="46" t="n"/>
      <c r="H189" s="46" t="n"/>
      <c r="I189" s="46" t="n"/>
      <c r="J189" s="40" t="n"/>
      <c r="L189" s="45" t="n"/>
      <c r="M189" s="45" t="n"/>
      <c r="N189" s="45" t="n"/>
      <c r="O189" s="45" t="n"/>
      <c r="P189" s="31" t="n"/>
      <c r="Q189" s="46" t="n"/>
      <c r="R189" s="46" t="n"/>
      <c r="S189" s="46" t="n"/>
      <c r="T189" s="42" t="n"/>
      <c r="V189" s="45" t="n"/>
      <c r="W189" s="45" t="n"/>
      <c r="X189" s="45" t="n"/>
      <c r="Y189" s="31" t="n"/>
      <c r="Z189" s="46" t="n"/>
      <c r="AA189" s="46" t="n"/>
      <c r="AB189" s="46" t="n"/>
      <c r="AC189" s="42" t="n"/>
      <c r="AE189" s="32" t="n"/>
      <c r="AF189" s="32" t="n"/>
      <c r="AG189" s="33" t="n"/>
      <c r="AH189" s="43" t="n"/>
      <c r="AI189" s="43" t="n"/>
      <c r="AJ189" s="44" t="n"/>
      <c r="AL189" s="35" t="n"/>
      <c r="AM189" s="35" t="n"/>
      <c r="AN189" s="35" t="n"/>
    </row>
    <row r="190">
      <c r="A190" s="27" t="n"/>
      <c r="B190" s="28" t="n"/>
      <c r="C190" s="28" t="n"/>
      <c r="D190" s="28" t="n"/>
      <c r="E190" s="45" t="n"/>
      <c r="F190" s="46" t="n"/>
      <c r="G190" s="46" t="n"/>
      <c r="H190" s="46" t="n"/>
      <c r="I190" s="46" t="n"/>
      <c r="J190" s="40" t="n"/>
      <c r="L190" s="45" t="n"/>
      <c r="M190" s="45" t="n"/>
      <c r="N190" s="45" t="n"/>
      <c r="O190" s="45" t="n"/>
      <c r="P190" s="31" t="n"/>
      <c r="Q190" s="46" t="n"/>
      <c r="R190" s="46" t="n"/>
      <c r="S190" s="46" t="n"/>
      <c r="T190" s="42" t="n"/>
      <c r="V190" s="45" t="n"/>
      <c r="W190" s="45" t="n"/>
      <c r="X190" s="45" t="n"/>
      <c r="Y190" s="31" t="n"/>
      <c r="Z190" s="46" t="n"/>
      <c r="AA190" s="46" t="n"/>
      <c r="AB190" s="46" t="n"/>
      <c r="AC190" s="42" t="n"/>
      <c r="AE190" s="32" t="n"/>
      <c r="AF190" s="32" t="n"/>
      <c r="AG190" s="33" t="n"/>
      <c r="AH190" s="43" t="n"/>
      <c r="AI190" s="43" t="n"/>
      <c r="AJ190" s="44" t="n"/>
      <c r="AL190" s="35" t="n"/>
      <c r="AM190" s="35" t="n"/>
      <c r="AN190" s="35" t="n"/>
    </row>
    <row r="191">
      <c r="A191" s="27" t="n"/>
      <c r="B191" s="28" t="n"/>
      <c r="C191" s="28" t="n"/>
      <c r="D191" s="28" t="n"/>
      <c r="E191" s="45" t="n"/>
      <c r="F191" s="46" t="n"/>
      <c r="G191" s="46" t="n"/>
      <c r="H191" s="46" t="n"/>
      <c r="I191" s="46" t="n"/>
      <c r="J191" s="40" t="n"/>
      <c r="L191" s="45" t="n"/>
      <c r="M191" s="45" t="n"/>
      <c r="N191" s="45" t="n"/>
      <c r="O191" s="45" t="n"/>
      <c r="P191" s="31" t="n"/>
      <c r="Q191" s="46" t="n"/>
      <c r="R191" s="46" t="n"/>
      <c r="S191" s="46" t="n"/>
      <c r="T191" s="42" t="n"/>
      <c r="V191" s="45" t="n"/>
      <c r="W191" s="45" t="n"/>
      <c r="X191" s="45" t="n"/>
      <c r="Y191" s="31" t="n"/>
      <c r="Z191" s="46" t="n"/>
      <c r="AA191" s="46" t="n"/>
      <c r="AB191" s="46" t="n"/>
      <c r="AC191" s="42" t="n"/>
      <c r="AE191" s="32" t="n"/>
      <c r="AF191" s="32" t="n"/>
      <c r="AG191" s="33" t="n"/>
      <c r="AH191" s="43" t="n"/>
      <c r="AI191" s="43" t="n"/>
      <c r="AJ191" s="44" t="n"/>
      <c r="AL191" s="35" t="n"/>
      <c r="AM191" s="35" t="n"/>
      <c r="AN191" s="35" t="n"/>
    </row>
    <row r="192">
      <c r="A192" s="27" t="n"/>
      <c r="B192" s="28" t="n"/>
      <c r="C192" s="28" t="n"/>
      <c r="D192" s="28" t="n"/>
      <c r="E192" s="45" t="n"/>
      <c r="F192" s="46" t="n"/>
      <c r="G192" s="46" t="n"/>
      <c r="H192" s="46" t="n"/>
      <c r="I192" s="46" t="n"/>
      <c r="J192" s="40" t="n"/>
      <c r="L192" s="45" t="n"/>
      <c r="M192" s="45" t="n"/>
      <c r="N192" s="45" t="n"/>
      <c r="O192" s="45" t="n"/>
      <c r="P192" s="31" t="n"/>
      <c r="Q192" s="46" t="n"/>
      <c r="R192" s="46" t="n"/>
      <c r="S192" s="46" t="n"/>
      <c r="T192" s="42" t="n"/>
      <c r="V192" s="45" t="n"/>
      <c r="W192" s="45" t="n"/>
      <c r="X192" s="45" t="n"/>
      <c r="Y192" s="31" t="n"/>
      <c r="Z192" s="46" t="n"/>
      <c r="AA192" s="46" t="n"/>
      <c r="AB192" s="46" t="n"/>
      <c r="AC192" s="42" t="n"/>
      <c r="AE192" s="32" t="n"/>
      <c r="AF192" s="32" t="n"/>
      <c r="AG192" s="33" t="n"/>
      <c r="AH192" s="43" t="n"/>
      <c r="AI192" s="43" t="n"/>
      <c r="AJ192" s="44" t="n"/>
      <c r="AL192" s="35" t="n"/>
      <c r="AM192" s="35" t="n"/>
      <c r="AN192" s="35" t="n"/>
    </row>
    <row r="193">
      <c r="A193" s="27" t="n"/>
      <c r="B193" s="28" t="n"/>
      <c r="C193" s="28" t="n"/>
      <c r="D193" s="28" t="n"/>
      <c r="E193" s="45" t="n"/>
      <c r="F193" s="46" t="n"/>
      <c r="G193" s="46" t="n"/>
      <c r="H193" s="46" t="n"/>
      <c r="I193" s="46" t="n"/>
      <c r="J193" s="40" t="n"/>
      <c r="L193" s="45" t="n"/>
      <c r="M193" s="45" t="n"/>
      <c r="N193" s="45" t="n"/>
      <c r="O193" s="45" t="n"/>
      <c r="P193" s="31" t="n"/>
      <c r="Q193" s="46" t="n"/>
      <c r="R193" s="46" t="n"/>
      <c r="S193" s="46" t="n"/>
      <c r="T193" s="42" t="n"/>
      <c r="V193" s="45" t="n"/>
      <c r="W193" s="45" t="n"/>
      <c r="X193" s="45" t="n"/>
      <c r="Y193" s="31" t="n"/>
      <c r="Z193" s="46" t="n"/>
      <c r="AA193" s="46" t="n"/>
      <c r="AB193" s="46" t="n"/>
      <c r="AC193" s="42" t="n"/>
      <c r="AE193" s="32" t="n"/>
      <c r="AF193" s="32" t="n"/>
      <c r="AG193" s="33" t="n"/>
      <c r="AH193" s="43" t="n"/>
      <c r="AI193" s="43" t="n"/>
      <c r="AJ193" s="44" t="n"/>
      <c r="AL193" s="35" t="n"/>
      <c r="AM193" s="35" t="n"/>
      <c r="AN193" s="35" t="n"/>
    </row>
    <row r="194">
      <c r="A194" s="27" t="n"/>
      <c r="B194" s="28" t="n"/>
      <c r="C194" s="28" t="n"/>
      <c r="D194" s="28" t="n"/>
      <c r="E194" s="45" t="n"/>
      <c r="F194" s="46" t="n"/>
      <c r="G194" s="46" t="n"/>
      <c r="H194" s="46" t="n"/>
      <c r="I194" s="46" t="n"/>
      <c r="J194" s="40" t="n"/>
      <c r="L194" s="45" t="n"/>
      <c r="M194" s="45" t="n"/>
      <c r="N194" s="45" t="n"/>
      <c r="O194" s="45" t="n"/>
      <c r="P194" s="31" t="n"/>
      <c r="Q194" s="46" t="n"/>
      <c r="R194" s="46" t="n"/>
      <c r="S194" s="46" t="n"/>
      <c r="T194" s="42" t="n"/>
      <c r="V194" s="45" t="n"/>
      <c r="W194" s="45" t="n"/>
      <c r="X194" s="45" t="n"/>
      <c r="Y194" s="31" t="n"/>
      <c r="Z194" s="46" t="n"/>
      <c r="AA194" s="46" t="n"/>
      <c r="AB194" s="46" t="n"/>
      <c r="AC194" s="42" t="n"/>
      <c r="AE194" s="32" t="n"/>
      <c r="AF194" s="32" t="n"/>
      <c r="AG194" s="33" t="n"/>
      <c r="AH194" s="43" t="n"/>
      <c r="AI194" s="43" t="n"/>
      <c r="AJ194" s="44" t="n"/>
      <c r="AL194" s="35" t="n"/>
      <c r="AM194" s="35" t="n"/>
      <c r="AN194" s="35" t="n"/>
    </row>
    <row r="195">
      <c r="A195" s="27" t="n"/>
      <c r="B195" s="28" t="n"/>
      <c r="C195" s="28" t="n"/>
      <c r="D195" s="28" t="n"/>
      <c r="E195" s="45" t="n"/>
      <c r="F195" s="46" t="n"/>
      <c r="G195" s="46" t="n"/>
      <c r="H195" s="46" t="n"/>
      <c r="I195" s="46" t="n"/>
      <c r="J195" s="40" t="n"/>
      <c r="L195" s="45" t="n"/>
      <c r="M195" s="45" t="n"/>
      <c r="N195" s="45" t="n"/>
      <c r="O195" s="45" t="n"/>
      <c r="P195" s="31" t="n"/>
      <c r="Q195" s="46" t="n"/>
      <c r="R195" s="46" t="n"/>
      <c r="S195" s="46" t="n"/>
      <c r="T195" s="42" t="n"/>
      <c r="V195" s="45" t="n"/>
      <c r="W195" s="45" t="n"/>
      <c r="X195" s="45" t="n"/>
      <c r="Y195" s="31" t="n"/>
      <c r="Z195" s="46" t="n"/>
      <c r="AA195" s="46" t="n"/>
      <c r="AB195" s="46" t="n"/>
      <c r="AC195" s="42" t="n"/>
      <c r="AE195" s="32" t="n"/>
      <c r="AF195" s="32" t="n"/>
      <c r="AG195" s="33" t="n"/>
      <c r="AH195" s="43" t="n"/>
      <c r="AI195" s="43" t="n"/>
      <c r="AJ195" s="44" t="n"/>
      <c r="AL195" s="35" t="n"/>
      <c r="AM195" s="35" t="n"/>
      <c r="AN195" s="35" t="n"/>
    </row>
    <row r="196">
      <c r="A196" s="27" t="n"/>
      <c r="B196" s="28" t="n"/>
      <c r="C196" s="28" t="n"/>
      <c r="D196" s="28" t="n"/>
      <c r="E196" s="45" t="n"/>
      <c r="F196" s="46" t="n"/>
      <c r="G196" s="46" t="n"/>
      <c r="H196" s="46" t="n"/>
      <c r="I196" s="46" t="n"/>
      <c r="J196" s="40" t="n"/>
      <c r="L196" s="45" t="n"/>
      <c r="M196" s="45" t="n"/>
      <c r="N196" s="45" t="n"/>
      <c r="O196" s="45" t="n"/>
      <c r="P196" s="31" t="n"/>
      <c r="Q196" s="46" t="n"/>
      <c r="R196" s="46" t="n"/>
      <c r="S196" s="46" t="n"/>
      <c r="T196" s="42" t="n"/>
      <c r="V196" s="45" t="n"/>
      <c r="W196" s="45" t="n"/>
      <c r="X196" s="45" t="n"/>
      <c r="Y196" s="31" t="n"/>
      <c r="Z196" s="46" t="n"/>
      <c r="AA196" s="46" t="n"/>
      <c r="AB196" s="46" t="n"/>
      <c r="AC196" s="42" t="n"/>
      <c r="AE196" s="32" t="n"/>
      <c r="AF196" s="32" t="n"/>
      <c r="AG196" s="33" t="n"/>
      <c r="AH196" s="43" t="n"/>
      <c r="AI196" s="43" t="n"/>
      <c r="AJ196" s="44" t="n"/>
      <c r="AL196" s="35" t="n"/>
      <c r="AM196" s="35" t="n"/>
      <c r="AN196" s="35" t="n"/>
    </row>
    <row r="197">
      <c r="A197" s="27" t="n"/>
      <c r="B197" s="28" t="n"/>
      <c r="C197" s="28" t="n"/>
      <c r="D197" s="28" t="n"/>
      <c r="E197" s="45" t="n"/>
      <c r="F197" s="46" t="n"/>
      <c r="G197" s="46" t="n"/>
      <c r="H197" s="46" t="n"/>
      <c r="I197" s="46" t="n"/>
      <c r="J197" s="40" t="n"/>
      <c r="L197" s="45" t="n"/>
      <c r="M197" s="45" t="n"/>
      <c r="N197" s="45" t="n"/>
      <c r="O197" s="45" t="n"/>
      <c r="P197" s="31" t="n"/>
      <c r="Q197" s="46" t="n"/>
      <c r="R197" s="46" t="n"/>
      <c r="S197" s="46" t="n"/>
      <c r="T197" s="42" t="n"/>
      <c r="V197" s="45" t="n"/>
      <c r="W197" s="45" t="n"/>
      <c r="X197" s="45" t="n"/>
      <c r="Y197" s="31" t="n"/>
      <c r="Z197" s="46" t="n"/>
      <c r="AA197" s="46" t="n"/>
      <c r="AB197" s="46" t="n"/>
      <c r="AC197" s="42" t="n"/>
      <c r="AE197" s="32" t="n"/>
      <c r="AF197" s="32" t="n"/>
      <c r="AG197" s="33" t="n"/>
      <c r="AH197" s="43" t="n"/>
      <c r="AI197" s="43" t="n"/>
      <c r="AJ197" s="44" t="n"/>
      <c r="AL197" s="35" t="n"/>
      <c r="AM197" s="35" t="n"/>
      <c r="AN197" s="35" t="n"/>
    </row>
    <row r="198">
      <c r="A198" s="27" t="n"/>
      <c r="B198" s="28" t="n"/>
      <c r="C198" s="28" t="n"/>
      <c r="D198" s="28" t="n"/>
      <c r="E198" s="45" t="n"/>
      <c r="F198" s="46" t="n"/>
      <c r="G198" s="46" t="n"/>
      <c r="H198" s="46" t="n"/>
      <c r="I198" s="46" t="n"/>
      <c r="J198" s="40" t="n"/>
      <c r="L198" s="45" t="n"/>
      <c r="M198" s="45" t="n"/>
      <c r="N198" s="45" t="n"/>
      <c r="O198" s="45" t="n"/>
      <c r="P198" s="31" t="n"/>
      <c r="Q198" s="46" t="n"/>
      <c r="R198" s="46" t="n"/>
      <c r="S198" s="46" t="n"/>
      <c r="T198" s="42" t="n"/>
      <c r="V198" s="45" t="n"/>
      <c r="W198" s="45" t="n"/>
      <c r="X198" s="45" t="n"/>
      <c r="Y198" s="31" t="n"/>
      <c r="Z198" s="46" t="n"/>
      <c r="AA198" s="46" t="n"/>
      <c r="AB198" s="46" t="n"/>
      <c r="AC198" s="42" t="n"/>
      <c r="AE198" s="32" t="n"/>
      <c r="AF198" s="32" t="n"/>
      <c r="AG198" s="33" t="n"/>
      <c r="AH198" s="43" t="n"/>
      <c r="AI198" s="43" t="n"/>
      <c r="AJ198" s="44" t="n"/>
      <c r="AL198" s="35" t="n"/>
      <c r="AM198" s="35" t="n"/>
      <c r="AN198" s="35" t="n"/>
    </row>
    <row r="199">
      <c r="A199" s="27" t="n"/>
      <c r="B199" s="28" t="n"/>
      <c r="C199" s="28" t="n"/>
      <c r="D199" s="28" t="n"/>
      <c r="E199" s="45" t="n"/>
      <c r="F199" s="46" t="n"/>
      <c r="G199" s="46" t="n"/>
      <c r="H199" s="46" t="n"/>
      <c r="I199" s="46" t="n"/>
      <c r="J199" s="40" t="n"/>
      <c r="L199" s="45" t="n"/>
      <c r="M199" s="45" t="n"/>
      <c r="N199" s="45" t="n"/>
      <c r="O199" s="45" t="n"/>
      <c r="P199" s="31" t="n"/>
      <c r="Q199" s="46" t="n"/>
      <c r="R199" s="46" t="n"/>
      <c r="S199" s="46" t="n"/>
      <c r="T199" s="42" t="n"/>
      <c r="V199" s="45" t="n"/>
      <c r="W199" s="45" t="n"/>
      <c r="X199" s="45" t="n"/>
      <c r="Y199" s="31" t="n"/>
      <c r="Z199" s="46" t="n"/>
      <c r="AA199" s="46" t="n"/>
      <c r="AB199" s="46" t="n"/>
      <c r="AC199" s="42" t="n"/>
      <c r="AE199" s="32" t="n"/>
      <c r="AF199" s="32" t="n"/>
      <c r="AG199" s="33" t="n"/>
      <c r="AH199" s="43" t="n"/>
      <c r="AI199" s="43" t="n"/>
      <c r="AJ199" s="44" t="n"/>
      <c r="AL199" s="35" t="n"/>
      <c r="AM199" s="35" t="n"/>
      <c r="AN199" s="35" t="n"/>
    </row>
    <row r="200">
      <c r="A200" s="27" t="n"/>
      <c r="B200" s="28" t="n"/>
      <c r="C200" s="28" t="n"/>
      <c r="D200" s="28" t="n"/>
      <c r="E200" s="45" t="n"/>
      <c r="F200" s="46" t="n"/>
      <c r="G200" s="46" t="n"/>
      <c r="H200" s="46" t="n"/>
      <c r="I200" s="46" t="n"/>
      <c r="J200" s="40" t="n"/>
      <c r="L200" s="45" t="n"/>
      <c r="M200" s="45" t="n"/>
      <c r="N200" s="45" t="n"/>
      <c r="O200" s="45" t="n"/>
      <c r="P200" s="31" t="n"/>
      <c r="Q200" s="46" t="n"/>
      <c r="R200" s="46" t="n"/>
      <c r="S200" s="46" t="n"/>
      <c r="T200" s="42" t="n"/>
      <c r="V200" s="45" t="n"/>
      <c r="W200" s="45" t="n"/>
      <c r="X200" s="45" t="n"/>
      <c r="Y200" s="31" t="n"/>
      <c r="Z200" s="46" t="n"/>
      <c r="AA200" s="46" t="n"/>
      <c r="AB200" s="46" t="n"/>
      <c r="AC200" s="42" t="n"/>
      <c r="AE200" s="32" t="n"/>
      <c r="AF200" s="32" t="n"/>
      <c r="AG200" s="33" t="n"/>
      <c r="AH200" s="43" t="n"/>
      <c r="AI200" s="43" t="n"/>
      <c r="AJ200" s="44" t="n"/>
      <c r="AL200" s="35" t="n"/>
      <c r="AM200" s="35" t="n"/>
      <c r="AN200" s="35" t="n"/>
    </row>
    <row r="201">
      <c r="A201" s="27" t="n"/>
      <c r="B201" s="28" t="n"/>
      <c r="C201" s="28" t="n"/>
      <c r="D201" s="28" t="n"/>
      <c r="E201" s="45" t="n"/>
      <c r="F201" s="46" t="n"/>
      <c r="G201" s="46" t="n"/>
      <c r="H201" s="46" t="n"/>
      <c r="I201" s="46" t="n"/>
      <c r="J201" s="40" t="n"/>
      <c r="L201" s="45" t="n"/>
      <c r="M201" s="45" t="n"/>
      <c r="N201" s="45" t="n"/>
      <c r="O201" s="45" t="n"/>
      <c r="P201" s="31" t="n"/>
      <c r="Q201" s="46" t="n"/>
      <c r="R201" s="46" t="n"/>
      <c r="S201" s="46" t="n"/>
      <c r="T201" s="42" t="n"/>
      <c r="V201" s="45" t="n"/>
      <c r="W201" s="45" t="n"/>
      <c r="X201" s="45" t="n"/>
      <c r="Y201" s="31" t="n"/>
      <c r="Z201" s="46" t="n"/>
      <c r="AA201" s="46" t="n"/>
      <c r="AB201" s="46" t="n"/>
      <c r="AC201" s="42" t="n"/>
      <c r="AE201" s="32" t="n"/>
      <c r="AF201" s="32" t="n"/>
      <c r="AG201" s="33" t="n"/>
      <c r="AH201" s="43" t="n"/>
      <c r="AI201" s="43" t="n"/>
      <c r="AJ201" s="44" t="n"/>
      <c r="AL201" s="35" t="n"/>
      <c r="AM201" s="35" t="n"/>
      <c r="AN201" s="35" t="n"/>
    </row>
    <row r="202">
      <c r="A202" s="27" t="n"/>
      <c r="B202" s="28" t="n"/>
      <c r="C202" s="28" t="n"/>
      <c r="D202" s="28" t="n"/>
      <c r="E202" s="45" t="n"/>
      <c r="F202" s="46" t="n"/>
      <c r="G202" s="46" t="n"/>
      <c r="H202" s="46" t="n"/>
      <c r="I202" s="46" t="n"/>
      <c r="J202" s="40" t="n"/>
      <c r="L202" s="45" t="n"/>
      <c r="M202" s="45" t="n"/>
      <c r="N202" s="45" t="n"/>
      <c r="O202" s="45" t="n"/>
      <c r="P202" s="31" t="n"/>
      <c r="Q202" s="46" t="n"/>
      <c r="R202" s="46" t="n"/>
      <c r="S202" s="46" t="n"/>
      <c r="T202" s="42" t="n"/>
      <c r="V202" s="45" t="n"/>
      <c r="W202" s="45" t="n"/>
      <c r="X202" s="45" t="n"/>
      <c r="Y202" s="31" t="n"/>
      <c r="Z202" s="46" t="n"/>
      <c r="AA202" s="46" t="n"/>
      <c r="AB202" s="46" t="n"/>
      <c r="AC202" s="42" t="n"/>
      <c r="AE202" s="32" t="n"/>
      <c r="AF202" s="32" t="n"/>
      <c r="AG202" s="33" t="n"/>
      <c r="AH202" s="43" t="n"/>
      <c r="AI202" s="43" t="n"/>
      <c r="AJ202" s="44" t="n"/>
      <c r="AL202" s="35" t="n"/>
      <c r="AM202" s="35" t="n"/>
      <c r="AN202" s="35" t="n"/>
    </row>
    <row r="203">
      <c r="A203" s="27" t="n"/>
      <c r="B203" s="28" t="n"/>
      <c r="C203" s="28" t="n"/>
      <c r="D203" s="28" t="n"/>
      <c r="E203" s="45" t="n"/>
      <c r="F203" s="46" t="n"/>
      <c r="G203" s="46" t="n"/>
      <c r="H203" s="46" t="n"/>
      <c r="I203" s="46" t="n"/>
      <c r="J203" s="40" t="n"/>
      <c r="L203" s="45" t="n"/>
      <c r="M203" s="45" t="n"/>
      <c r="N203" s="45" t="n"/>
      <c r="O203" s="45" t="n"/>
      <c r="P203" s="31" t="n"/>
      <c r="Q203" s="46" t="n"/>
      <c r="R203" s="46" t="n"/>
      <c r="S203" s="46" t="n"/>
      <c r="T203" s="42" t="n"/>
      <c r="V203" s="45" t="n"/>
      <c r="W203" s="45" t="n"/>
      <c r="X203" s="45" t="n"/>
      <c r="Y203" s="31" t="n"/>
      <c r="Z203" s="46" t="n"/>
      <c r="AA203" s="46" t="n"/>
      <c r="AB203" s="46" t="n"/>
      <c r="AC203" s="42" t="n"/>
      <c r="AE203" s="32" t="n"/>
      <c r="AF203" s="32" t="n"/>
      <c r="AG203" s="33" t="n"/>
      <c r="AH203" s="43" t="n"/>
      <c r="AI203" s="43" t="n"/>
      <c r="AJ203" s="44" t="n"/>
      <c r="AL203" s="35" t="n"/>
      <c r="AM203" s="35" t="n"/>
      <c r="AN203" s="35" t="n"/>
    </row>
    <row r="204">
      <c r="A204" s="27" t="n"/>
      <c r="B204" s="28" t="n"/>
      <c r="C204" s="28" t="n"/>
      <c r="D204" s="28" t="n"/>
      <c r="E204" s="45" t="n"/>
      <c r="F204" s="46" t="n"/>
      <c r="G204" s="46" t="n"/>
      <c r="H204" s="46" t="n"/>
      <c r="I204" s="46" t="n"/>
      <c r="J204" s="40" t="n"/>
      <c r="L204" s="45" t="n"/>
      <c r="M204" s="45" t="n"/>
      <c r="N204" s="45" t="n"/>
      <c r="O204" s="45" t="n"/>
      <c r="P204" s="31" t="n"/>
      <c r="Q204" s="46" t="n"/>
      <c r="R204" s="46" t="n"/>
      <c r="S204" s="46" t="n"/>
      <c r="T204" s="42" t="n"/>
      <c r="V204" s="45" t="n"/>
      <c r="W204" s="45" t="n"/>
      <c r="X204" s="45" t="n"/>
      <c r="Y204" s="31" t="n"/>
      <c r="Z204" s="46" t="n"/>
      <c r="AA204" s="46" t="n"/>
      <c r="AB204" s="46" t="n"/>
      <c r="AC204" s="42" t="n"/>
      <c r="AE204" s="32" t="n"/>
      <c r="AF204" s="32" t="n"/>
      <c r="AG204" s="33" t="n"/>
      <c r="AH204" s="43" t="n"/>
      <c r="AI204" s="43" t="n"/>
      <c r="AJ204" s="44" t="n"/>
      <c r="AL204" s="35" t="n"/>
      <c r="AM204" s="35" t="n"/>
      <c r="AN204" s="35" t="n"/>
    </row>
    <row r="205">
      <c r="A205" s="27" t="n"/>
      <c r="B205" s="28" t="n"/>
      <c r="C205" s="28" t="n"/>
      <c r="D205" s="28" t="n"/>
      <c r="E205" s="45" t="n"/>
      <c r="F205" s="46" t="n"/>
      <c r="G205" s="46" t="n"/>
      <c r="H205" s="46" t="n"/>
      <c r="I205" s="46" t="n"/>
      <c r="J205" s="40" t="n"/>
      <c r="L205" s="45" t="n"/>
      <c r="M205" s="45" t="n"/>
      <c r="N205" s="45" t="n"/>
      <c r="O205" s="45" t="n"/>
      <c r="P205" s="31" t="n"/>
      <c r="Q205" s="46" t="n"/>
      <c r="R205" s="46" t="n"/>
      <c r="S205" s="46" t="n"/>
      <c r="T205" s="42" t="n"/>
      <c r="V205" s="45" t="n"/>
      <c r="W205" s="45" t="n"/>
      <c r="X205" s="45" t="n"/>
      <c r="Y205" s="31" t="n"/>
      <c r="Z205" s="46" t="n"/>
      <c r="AA205" s="46" t="n"/>
      <c r="AB205" s="46" t="n"/>
      <c r="AC205" s="42" t="n"/>
      <c r="AE205" s="32" t="n"/>
      <c r="AF205" s="32" t="n"/>
      <c r="AG205" s="33" t="n"/>
      <c r="AH205" s="43" t="n"/>
      <c r="AI205" s="43" t="n"/>
      <c r="AJ205" s="44" t="n"/>
      <c r="AL205" s="35" t="n"/>
      <c r="AM205" s="35" t="n"/>
      <c r="AN205" s="35" t="n"/>
    </row>
    <row r="206">
      <c r="A206" s="27" t="n"/>
      <c r="B206" s="28" t="n"/>
      <c r="C206" s="28" t="n"/>
      <c r="D206" s="28" t="n"/>
      <c r="E206" s="45" t="n"/>
      <c r="F206" s="46" t="n"/>
      <c r="G206" s="46" t="n"/>
      <c r="H206" s="46" t="n"/>
      <c r="I206" s="46" t="n"/>
      <c r="J206" s="40" t="n"/>
      <c r="L206" s="45" t="n"/>
      <c r="M206" s="45" t="n"/>
      <c r="N206" s="45" t="n"/>
      <c r="O206" s="45" t="n"/>
      <c r="P206" s="31" t="n"/>
      <c r="Q206" s="46" t="n"/>
      <c r="R206" s="46" t="n"/>
      <c r="S206" s="46" t="n"/>
      <c r="T206" s="42" t="n"/>
      <c r="V206" s="45" t="n"/>
      <c r="W206" s="45" t="n"/>
      <c r="X206" s="45" t="n"/>
      <c r="Y206" s="31" t="n"/>
      <c r="Z206" s="46" t="n"/>
      <c r="AA206" s="46" t="n"/>
      <c r="AB206" s="46" t="n"/>
      <c r="AC206" s="42" t="n"/>
      <c r="AE206" s="32" t="n"/>
      <c r="AF206" s="32" t="n"/>
      <c r="AG206" s="33" t="n"/>
      <c r="AH206" s="43" t="n"/>
      <c r="AI206" s="43" t="n"/>
      <c r="AJ206" s="44" t="n"/>
      <c r="AL206" s="35" t="n"/>
      <c r="AM206" s="35" t="n"/>
      <c r="AN206" s="35" t="n"/>
    </row>
    <row r="207">
      <c r="A207" s="27" t="n"/>
      <c r="B207" s="28" t="n"/>
      <c r="C207" s="28" t="n"/>
      <c r="D207" s="28" t="n"/>
      <c r="E207" s="45" t="n"/>
      <c r="F207" s="46" t="n"/>
      <c r="G207" s="46" t="n"/>
      <c r="H207" s="46" t="n"/>
      <c r="I207" s="46" t="n"/>
      <c r="J207" s="40" t="n"/>
      <c r="L207" s="45" t="n"/>
      <c r="M207" s="45" t="n"/>
      <c r="N207" s="45" t="n"/>
      <c r="O207" s="45" t="n"/>
      <c r="P207" s="31" t="n"/>
      <c r="Q207" s="46" t="n"/>
      <c r="R207" s="46" t="n"/>
      <c r="S207" s="46" t="n"/>
      <c r="T207" s="42" t="n"/>
      <c r="V207" s="45" t="n"/>
      <c r="W207" s="45" t="n"/>
      <c r="X207" s="45" t="n"/>
      <c r="Y207" s="31" t="n"/>
      <c r="Z207" s="46" t="n"/>
      <c r="AA207" s="46" t="n"/>
      <c r="AB207" s="46" t="n"/>
      <c r="AC207" s="42" t="n"/>
      <c r="AE207" s="32" t="n"/>
      <c r="AF207" s="32" t="n"/>
      <c r="AG207" s="33" t="n"/>
      <c r="AH207" s="43" t="n"/>
      <c r="AI207" s="43" t="n"/>
      <c r="AJ207" s="44" t="n"/>
      <c r="AL207" s="35" t="n"/>
      <c r="AM207" s="35" t="n"/>
      <c r="AN207" s="35" t="n"/>
    </row>
    <row r="208">
      <c r="A208" s="27" t="n"/>
      <c r="B208" s="28" t="n"/>
      <c r="C208" s="28" t="n"/>
      <c r="D208" s="28" t="n"/>
      <c r="E208" s="45" t="n"/>
      <c r="F208" s="46" t="n"/>
      <c r="G208" s="46" t="n"/>
      <c r="H208" s="46" t="n"/>
      <c r="I208" s="46" t="n"/>
      <c r="J208" s="40" t="n"/>
      <c r="L208" s="45" t="n"/>
      <c r="M208" s="45" t="n"/>
      <c r="N208" s="45" t="n"/>
      <c r="O208" s="45" t="n"/>
      <c r="P208" s="31" t="n"/>
      <c r="Q208" s="46" t="n"/>
      <c r="R208" s="46" t="n"/>
      <c r="S208" s="46" t="n"/>
      <c r="T208" s="42" t="n"/>
      <c r="V208" s="45" t="n"/>
      <c r="W208" s="45" t="n"/>
      <c r="X208" s="45" t="n"/>
      <c r="Y208" s="31" t="n"/>
      <c r="Z208" s="46" t="n"/>
      <c r="AA208" s="46" t="n"/>
      <c r="AB208" s="46" t="n"/>
      <c r="AC208" s="42" t="n"/>
      <c r="AE208" s="32" t="n"/>
      <c r="AF208" s="32" t="n"/>
      <c r="AG208" s="33" t="n"/>
      <c r="AH208" s="43" t="n"/>
      <c r="AI208" s="43" t="n"/>
      <c r="AJ208" s="44" t="n"/>
      <c r="AL208" s="35" t="n"/>
      <c r="AM208" s="35" t="n"/>
      <c r="AN208" s="35" t="n"/>
    </row>
    <row r="209">
      <c r="A209" s="27" t="n"/>
      <c r="B209" s="28" t="n"/>
      <c r="C209" s="28" t="n"/>
      <c r="D209" s="28" t="n"/>
      <c r="E209" s="45" t="n"/>
      <c r="F209" s="46" t="n"/>
      <c r="G209" s="46" t="n"/>
      <c r="H209" s="46" t="n"/>
      <c r="I209" s="46" t="n"/>
      <c r="J209" s="40" t="n"/>
      <c r="L209" s="45" t="n"/>
      <c r="M209" s="45" t="n"/>
      <c r="N209" s="45" t="n"/>
      <c r="O209" s="45" t="n"/>
      <c r="P209" s="31" t="n"/>
      <c r="Q209" s="46" t="n"/>
      <c r="R209" s="46" t="n"/>
      <c r="S209" s="46" t="n"/>
      <c r="T209" s="42" t="n"/>
      <c r="V209" s="45" t="n"/>
      <c r="W209" s="45" t="n"/>
      <c r="X209" s="45" t="n"/>
      <c r="Y209" s="31" t="n"/>
      <c r="Z209" s="46" t="n"/>
      <c r="AA209" s="46" t="n"/>
      <c r="AB209" s="46" t="n"/>
      <c r="AC209" s="42" t="n"/>
      <c r="AE209" s="32" t="n"/>
      <c r="AF209" s="32" t="n"/>
      <c r="AG209" s="33" t="n"/>
      <c r="AH209" s="43" t="n"/>
      <c r="AI209" s="43" t="n"/>
      <c r="AJ209" s="44" t="n"/>
      <c r="AL209" s="35" t="n"/>
      <c r="AM209" s="35" t="n"/>
      <c r="AN209" s="35" t="n"/>
    </row>
    <row r="210">
      <c r="A210" s="27" t="n"/>
      <c r="B210" s="28" t="n"/>
      <c r="C210" s="28" t="n"/>
      <c r="D210" s="28" t="n"/>
      <c r="E210" s="45" t="n"/>
      <c r="F210" s="46" t="n"/>
      <c r="G210" s="46" t="n"/>
      <c r="H210" s="46" t="n"/>
      <c r="I210" s="46" t="n"/>
      <c r="J210" s="40" t="n"/>
      <c r="L210" s="45" t="n"/>
      <c r="M210" s="45" t="n"/>
      <c r="N210" s="45" t="n"/>
      <c r="O210" s="45" t="n"/>
      <c r="P210" s="31" t="n"/>
      <c r="Q210" s="46" t="n"/>
      <c r="R210" s="46" t="n"/>
      <c r="S210" s="46" t="n"/>
      <c r="T210" s="42" t="n"/>
      <c r="V210" s="45" t="n"/>
      <c r="W210" s="45" t="n"/>
      <c r="X210" s="45" t="n"/>
      <c r="Y210" s="31" t="n"/>
      <c r="Z210" s="46" t="n"/>
      <c r="AA210" s="46" t="n"/>
      <c r="AB210" s="46" t="n"/>
      <c r="AC210" s="42" t="n"/>
      <c r="AE210" s="32" t="n"/>
      <c r="AF210" s="32" t="n"/>
      <c r="AG210" s="33" t="n"/>
      <c r="AH210" s="43" t="n"/>
      <c r="AI210" s="43" t="n"/>
      <c r="AJ210" s="44" t="n"/>
      <c r="AL210" s="35" t="n"/>
      <c r="AM210" s="35" t="n"/>
      <c r="AN210" s="35" t="n"/>
    </row>
    <row r="211">
      <c r="A211" s="27" t="n"/>
      <c r="B211" s="28" t="n"/>
      <c r="C211" s="28" t="n"/>
      <c r="D211" s="28" t="n"/>
      <c r="E211" s="45" t="n"/>
      <c r="F211" s="46" t="n"/>
      <c r="G211" s="46" t="n"/>
      <c r="H211" s="46" t="n"/>
      <c r="I211" s="46" t="n"/>
      <c r="J211" s="40" t="n"/>
      <c r="L211" s="45" t="n"/>
      <c r="M211" s="45" t="n"/>
      <c r="N211" s="45" t="n"/>
      <c r="O211" s="45" t="n"/>
      <c r="P211" s="31" t="n"/>
      <c r="Q211" s="46" t="n"/>
      <c r="R211" s="46" t="n"/>
      <c r="S211" s="46" t="n"/>
      <c r="T211" s="42" t="n"/>
      <c r="V211" s="45" t="n"/>
      <c r="W211" s="45" t="n"/>
      <c r="X211" s="45" t="n"/>
      <c r="Y211" s="31" t="n"/>
      <c r="Z211" s="46" t="n"/>
      <c r="AA211" s="46" t="n"/>
      <c r="AB211" s="46" t="n"/>
      <c r="AC211" s="42" t="n"/>
      <c r="AE211" s="32" t="n"/>
      <c r="AF211" s="32" t="n"/>
      <c r="AG211" s="33" t="n"/>
      <c r="AH211" s="43" t="n"/>
      <c r="AI211" s="43" t="n"/>
      <c r="AJ211" s="44" t="n"/>
      <c r="AL211" s="35" t="n"/>
      <c r="AM211" s="35" t="n"/>
      <c r="AN211" s="35" t="n"/>
    </row>
    <row r="212">
      <c r="A212" s="27" t="n"/>
      <c r="B212" s="28" t="n"/>
      <c r="C212" s="28" t="n"/>
      <c r="D212" s="28" t="n"/>
      <c r="E212" s="45" t="n"/>
      <c r="F212" s="46" t="n"/>
      <c r="G212" s="46" t="n"/>
      <c r="H212" s="46" t="n"/>
      <c r="I212" s="46" t="n"/>
      <c r="J212" s="40" t="n"/>
      <c r="L212" s="45" t="n"/>
      <c r="M212" s="45" t="n"/>
      <c r="N212" s="45" t="n"/>
      <c r="O212" s="45" t="n"/>
      <c r="P212" s="31" t="n"/>
      <c r="Q212" s="46" t="n"/>
      <c r="R212" s="46" t="n"/>
      <c r="S212" s="46" t="n"/>
      <c r="T212" s="42" t="n"/>
      <c r="V212" s="45" t="n"/>
      <c r="W212" s="45" t="n"/>
      <c r="X212" s="45" t="n"/>
      <c r="Y212" s="31" t="n"/>
      <c r="Z212" s="46" t="n"/>
      <c r="AA212" s="46" t="n"/>
      <c r="AB212" s="46" t="n"/>
      <c r="AC212" s="42" t="n"/>
      <c r="AE212" s="32" t="n"/>
      <c r="AF212" s="32" t="n"/>
      <c r="AG212" s="33" t="n"/>
      <c r="AH212" s="43" t="n"/>
      <c r="AI212" s="43" t="n"/>
      <c r="AJ212" s="44" t="n"/>
      <c r="AL212" s="35" t="n"/>
      <c r="AM212" s="35" t="n"/>
      <c r="AN212" s="35" t="n"/>
    </row>
    <row r="213">
      <c r="A213" s="27" t="n"/>
      <c r="B213" s="28" t="n"/>
      <c r="C213" s="28" t="n"/>
      <c r="D213" s="28" t="n"/>
      <c r="E213" s="45" t="n"/>
      <c r="F213" s="46" t="n"/>
      <c r="G213" s="46" t="n"/>
      <c r="H213" s="46" t="n"/>
      <c r="I213" s="46" t="n"/>
      <c r="J213" s="40" t="n"/>
      <c r="L213" s="45" t="n"/>
      <c r="M213" s="45" t="n"/>
      <c r="N213" s="45" t="n"/>
      <c r="O213" s="45" t="n"/>
      <c r="P213" s="31" t="n"/>
      <c r="Q213" s="46" t="n"/>
      <c r="R213" s="46" t="n"/>
      <c r="S213" s="46" t="n"/>
      <c r="T213" s="42" t="n"/>
      <c r="V213" s="45" t="n"/>
      <c r="W213" s="45" t="n"/>
      <c r="X213" s="45" t="n"/>
      <c r="Y213" s="31" t="n"/>
      <c r="Z213" s="46" t="n"/>
      <c r="AA213" s="46" t="n"/>
      <c r="AB213" s="46" t="n"/>
      <c r="AC213" s="42" t="n"/>
      <c r="AE213" s="32" t="n"/>
      <c r="AF213" s="32" t="n"/>
      <c r="AG213" s="33" t="n"/>
      <c r="AH213" s="43" t="n"/>
      <c r="AI213" s="43" t="n"/>
      <c r="AJ213" s="44" t="n"/>
      <c r="AL213" s="35" t="n"/>
      <c r="AM213" s="35" t="n"/>
      <c r="AN213" s="35" t="n"/>
    </row>
    <row r="214">
      <c r="A214" s="27" t="n"/>
      <c r="B214" s="28" t="n"/>
      <c r="C214" s="28" t="n"/>
      <c r="D214" s="28" t="n"/>
      <c r="E214" s="45" t="n"/>
      <c r="F214" s="46" t="n"/>
      <c r="G214" s="46" t="n"/>
      <c r="H214" s="46" t="n"/>
      <c r="I214" s="46" t="n"/>
      <c r="J214" s="40" t="n"/>
      <c r="L214" s="45" t="n"/>
      <c r="M214" s="45" t="n"/>
      <c r="N214" s="45" t="n"/>
      <c r="O214" s="45" t="n"/>
      <c r="P214" s="31" t="n"/>
      <c r="Q214" s="46" t="n"/>
      <c r="R214" s="46" t="n"/>
      <c r="S214" s="46" t="n"/>
      <c r="T214" s="42" t="n"/>
      <c r="V214" s="45" t="n"/>
      <c r="W214" s="45" t="n"/>
      <c r="X214" s="45" t="n"/>
      <c r="Y214" s="31" t="n"/>
      <c r="Z214" s="46" t="n"/>
      <c r="AA214" s="46" t="n"/>
      <c r="AB214" s="46" t="n"/>
      <c r="AC214" s="42" t="n"/>
      <c r="AE214" s="32" t="n"/>
      <c r="AF214" s="32" t="n"/>
      <c r="AG214" s="33" t="n"/>
      <c r="AH214" s="43" t="n"/>
      <c r="AI214" s="43" t="n"/>
      <c r="AJ214" s="44" t="n"/>
      <c r="AL214" s="35" t="n"/>
      <c r="AM214" s="35" t="n"/>
      <c r="AN214" s="35" t="n"/>
    </row>
    <row r="215">
      <c r="A215" s="27" t="n"/>
      <c r="B215" s="28" t="n"/>
      <c r="C215" s="28" t="n"/>
      <c r="D215" s="28" t="n"/>
      <c r="E215" s="45" t="n"/>
      <c r="F215" s="46" t="n"/>
      <c r="G215" s="46" t="n"/>
      <c r="H215" s="46" t="n"/>
      <c r="I215" s="46" t="n"/>
      <c r="J215" s="40" t="n"/>
      <c r="L215" s="45" t="n"/>
      <c r="M215" s="45" t="n"/>
      <c r="N215" s="45" t="n"/>
      <c r="O215" s="45" t="n"/>
      <c r="P215" s="31" t="n"/>
      <c r="Q215" s="46" t="n"/>
      <c r="R215" s="46" t="n"/>
      <c r="S215" s="46" t="n"/>
      <c r="T215" s="42" t="n"/>
      <c r="V215" s="45" t="n"/>
      <c r="W215" s="45" t="n"/>
      <c r="X215" s="45" t="n"/>
      <c r="Y215" s="31" t="n"/>
      <c r="Z215" s="46" t="n"/>
      <c r="AA215" s="46" t="n"/>
      <c r="AB215" s="46" t="n"/>
      <c r="AC215" s="42" t="n"/>
      <c r="AE215" s="32" t="n"/>
      <c r="AF215" s="32" t="n"/>
      <c r="AG215" s="33" t="n"/>
      <c r="AH215" s="43" t="n"/>
      <c r="AI215" s="43" t="n"/>
      <c r="AJ215" s="44" t="n"/>
      <c r="AL215" s="35" t="n"/>
      <c r="AM215" s="35" t="n"/>
      <c r="AN215" s="35" t="n"/>
    </row>
    <row r="216">
      <c r="A216" s="27" t="n"/>
      <c r="B216" s="28" t="n"/>
      <c r="C216" s="28" t="n"/>
      <c r="D216" s="28" t="n"/>
      <c r="E216" s="45" t="n"/>
      <c r="F216" s="46" t="n"/>
      <c r="G216" s="46" t="n"/>
      <c r="H216" s="46" t="n"/>
      <c r="I216" s="46" t="n"/>
      <c r="J216" s="40" t="n"/>
      <c r="L216" s="45" t="n"/>
      <c r="M216" s="45" t="n"/>
      <c r="N216" s="45" t="n"/>
      <c r="O216" s="45" t="n"/>
      <c r="P216" s="31" t="n"/>
      <c r="Q216" s="46" t="n"/>
      <c r="R216" s="46" t="n"/>
      <c r="S216" s="46" t="n"/>
      <c r="T216" s="42" t="n"/>
      <c r="V216" s="45" t="n"/>
      <c r="W216" s="45" t="n"/>
      <c r="X216" s="45" t="n"/>
      <c r="Y216" s="31" t="n"/>
      <c r="Z216" s="46" t="n"/>
      <c r="AA216" s="46" t="n"/>
      <c r="AB216" s="46" t="n"/>
      <c r="AC216" s="42" t="n"/>
      <c r="AE216" s="32" t="n"/>
      <c r="AF216" s="32" t="n"/>
      <c r="AG216" s="33" t="n"/>
      <c r="AH216" s="43" t="n"/>
      <c r="AI216" s="43" t="n"/>
      <c r="AJ216" s="44" t="n"/>
      <c r="AL216" s="35" t="n"/>
      <c r="AM216" s="35" t="n"/>
      <c r="AN216" s="35" t="n"/>
    </row>
    <row r="217">
      <c r="A217" s="27" t="n"/>
      <c r="B217" s="28" t="n"/>
      <c r="C217" s="28" t="n"/>
      <c r="D217" s="28" t="n"/>
      <c r="E217" s="45" t="n"/>
      <c r="F217" s="46" t="n"/>
      <c r="G217" s="46" t="n"/>
      <c r="H217" s="46" t="n"/>
      <c r="I217" s="46" t="n"/>
      <c r="J217" s="40" t="n"/>
      <c r="L217" s="45" t="n"/>
      <c r="M217" s="45" t="n"/>
      <c r="N217" s="45" t="n"/>
      <c r="O217" s="45" t="n"/>
      <c r="P217" s="31" t="n"/>
      <c r="Q217" s="46" t="n"/>
      <c r="R217" s="46" t="n"/>
      <c r="S217" s="46" t="n"/>
      <c r="T217" s="42" t="n"/>
      <c r="V217" s="45" t="n"/>
      <c r="W217" s="45" t="n"/>
      <c r="X217" s="45" t="n"/>
      <c r="Y217" s="31" t="n"/>
      <c r="Z217" s="46" t="n"/>
      <c r="AA217" s="46" t="n"/>
      <c r="AB217" s="46" t="n"/>
      <c r="AC217" s="42" t="n"/>
      <c r="AE217" s="32" t="n"/>
      <c r="AF217" s="32" t="n"/>
      <c r="AG217" s="33" t="n"/>
      <c r="AH217" s="43" t="n"/>
      <c r="AI217" s="43" t="n"/>
      <c r="AJ217" s="44" t="n"/>
      <c r="AL217" s="35" t="n"/>
      <c r="AM217" s="35" t="n"/>
      <c r="AN217" s="35" t="n"/>
    </row>
    <row r="218">
      <c r="A218" s="27" t="n"/>
      <c r="B218" s="28" t="n"/>
      <c r="C218" s="28" t="n"/>
      <c r="D218" s="28" t="n"/>
      <c r="E218" s="45" t="n"/>
      <c r="F218" s="46" t="n"/>
      <c r="G218" s="46" t="n"/>
      <c r="H218" s="46" t="n"/>
      <c r="I218" s="46" t="n"/>
      <c r="J218" s="40" t="n"/>
      <c r="L218" s="45" t="n"/>
      <c r="M218" s="45" t="n"/>
      <c r="N218" s="45" t="n"/>
      <c r="O218" s="45" t="n"/>
      <c r="P218" s="31" t="n"/>
      <c r="Q218" s="46" t="n"/>
      <c r="R218" s="46" t="n"/>
      <c r="S218" s="46" t="n"/>
      <c r="T218" s="42" t="n"/>
      <c r="V218" s="45" t="n"/>
      <c r="W218" s="45" t="n"/>
      <c r="X218" s="45" t="n"/>
      <c r="Y218" s="31" t="n"/>
      <c r="Z218" s="46" t="n"/>
      <c r="AA218" s="46" t="n"/>
      <c r="AB218" s="46" t="n"/>
      <c r="AC218" s="42" t="n"/>
      <c r="AE218" s="32" t="n"/>
      <c r="AF218" s="32" t="n"/>
      <c r="AG218" s="33" t="n"/>
      <c r="AH218" s="43" t="n"/>
      <c r="AI218" s="43" t="n"/>
      <c r="AJ218" s="44" t="n"/>
      <c r="AL218" s="35" t="n"/>
      <c r="AM218" s="35" t="n"/>
      <c r="AN218" s="35" t="n"/>
    </row>
    <row r="219">
      <c r="A219" s="27" t="n"/>
      <c r="B219" s="28" t="n"/>
      <c r="C219" s="28" t="n"/>
      <c r="D219" s="28" t="n"/>
      <c r="E219" s="45" t="n"/>
      <c r="F219" s="46" t="n"/>
      <c r="G219" s="46" t="n"/>
      <c r="H219" s="46" t="n"/>
      <c r="I219" s="46" t="n"/>
      <c r="J219" s="40" t="n"/>
      <c r="L219" s="45" t="n"/>
      <c r="M219" s="45" t="n"/>
      <c r="N219" s="45" t="n"/>
      <c r="O219" s="45" t="n"/>
      <c r="P219" s="31" t="n"/>
      <c r="Q219" s="46" t="n"/>
      <c r="R219" s="46" t="n"/>
      <c r="S219" s="46" t="n"/>
      <c r="T219" s="42" t="n"/>
      <c r="V219" s="45" t="n"/>
      <c r="W219" s="45" t="n"/>
      <c r="X219" s="45" t="n"/>
      <c r="Y219" s="31" t="n"/>
      <c r="Z219" s="46" t="n"/>
      <c r="AA219" s="46" t="n"/>
      <c r="AB219" s="46" t="n"/>
      <c r="AC219" s="42" t="n"/>
      <c r="AE219" s="32" t="n"/>
      <c r="AF219" s="32" t="n"/>
      <c r="AG219" s="33" t="n"/>
      <c r="AH219" s="43" t="n"/>
      <c r="AI219" s="43" t="n"/>
      <c r="AJ219" s="44" t="n"/>
      <c r="AL219" s="35" t="n"/>
      <c r="AM219" s="35" t="n"/>
      <c r="AN219" s="35" t="n"/>
    </row>
    <row r="220">
      <c r="A220" s="27" t="n"/>
      <c r="B220" s="28" t="n"/>
      <c r="C220" s="28" t="n"/>
      <c r="D220" s="28" t="n"/>
      <c r="E220" s="45" t="n"/>
      <c r="F220" s="46" t="n"/>
      <c r="G220" s="46" t="n"/>
      <c r="H220" s="46" t="n"/>
      <c r="I220" s="46" t="n"/>
      <c r="J220" s="40" t="n"/>
      <c r="L220" s="45" t="n"/>
      <c r="M220" s="45" t="n"/>
      <c r="N220" s="45" t="n"/>
      <c r="O220" s="45" t="n"/>
      <c r="P220" s="31" t="n"/>
      <c r="Q220" s="46" t="n"/>
      <c r="R220" s="46" t="n"/>
      <c r="S220" s="46" t="n"/>
      <c r="T220" s="42" t="n"/>
      <c r="V220" s="45" t="n"/>
      <c r="W220" s="45" t="n"/>
      <c r="X220" s="45" t="n"/>
      <c r="Y220" s="31" t="n"/>
      <c r="Z220" s="46" t="n"/>
      <c r="AA220" s="46" t="n"/>
      <c r="AB220" s="46" t="n"/>
      <c r="AC220" s="42" t="n"/>
      <c r="AE220" s="32" t="n"/>
      <c r="AF220" s="32" t="n"/>
      <c r="AG220" s="33" t="n"/>
      <c r="AH220" s="43" t="n"/>
      <c r="AI220" s="43" t="n"/>
      <c r="AJ220" s="44" t="n"/>
      <c r="AL220" s="35" t="n"/>
      <c r="AM220" s="35" t="n"/>
      <c r="AN220" s="35" t="n"/>
    </row>
    <row r="221">
      <c r="A221" s="27" t="n"/>
      <c r="B221" s="28" t="n"/>
      <c r="C221" s="28" t="n"/>
      <c r="D221" s="28" t="n"/>
      <c r="E221" s="45" t="n"/>
      <c r="F221" s="46" t="n"/>
      <c r="G221" s="46" t="n"/>
      <c r="H221" s="46" t="n"/>
      <c r="I221" s="46" t="n"/>
      <c r="J221" s="40" t="n"/>
      <c r="L221" s="45" t="n"/>
      <c r="M221" s="45" t="n"/>
      <c r="N221" s="45" t="n"/>
      <c r="O221" s="45" t="n"/>
      <c r="P221" s="31" t="n"/>
      <c r="Q221" s="46" t="n"/>
      <c r="R221" s="46" t="n"/>
      <c r="S221" s="46" t="n"/>
      <c r="T221" s="42" t="n"/>
      <c r="V221" s="45" t="n"/>
      <c r="W221" s="45" t="n"/>
      <c r="X221" s="45" t="n"/>
      <c r="Y221" s="31" t="n"/>
      <c r="Z221" s="46" t="n"/>
      <c r="AA221" s="46" t="n"/>
      <c r="AB221" s="46" t="n"/>
      <c r="AC221" s="42" t="n"/>
      <c r="AE221" s="32" t="n"/>
      <c r="AF221" s="32" t="n"/>
      <c r="AG221" s="33" t="n"/>
      <c r="AH221" s="43" t="n"/>
      <c r="AI221" s="43" t="n"/>
      <c r="AJ221" s="44" t="n"/>
      <c r="AL221" s="35" t="n"/>
      <c r="AM221" s="35" t="n"/>
      <c r="AN221" s="35" t="n"/>
    </row>
    <row r="222">
      <c r="A222" s="27" t="n"/>
      <c r="B222" s="28" t="n"/>
      <c r="C222" s="28" t="n"/>
      <c r="D222" s="28" t="n"/>
      <c r="E222" s="45" t="n"/>
      <c r="F222" s="46" t="n"/>
      <c r="G222" s="46" t="n"/>
      <c r="H222" s="46" t="n"/>
      <c r="I222" s="46" t="n"/>
      <c r="J222" s="40" t="n"/>
      <c r="L222" s="45" t="n"/>
      <c r="M222" s="45" t="n"/>
      <c r="N222" s="45" t="n"/>
      <c r="O222" s="45" t="n"/>
      <c r="P222" s="31" t="n"/>
      <c r="Q222" s="46" t="n"/>
      <c r="R222" s="46" t="n"/>
      <c r="S222" s="46" t="n"/>
      <c r="T222" s="42" t="n"/>
      <c r="V222" s="45" t="n"/>
      <c r="W222" s="45" t="n"/>
      <c r="X222" s="45" t="n"/>
      <c r="Y222" s="31" t="n"/>
      <c r="Z222" s="46" t="n"/>
      <c r="AA222" s="46" t="n"/>
      <c r="AB222" s="46" t="n"/>
      <c r="AC222" s="42" t="n"/>
      <c r="AE222" s="32" t="n"/>
      <c r="AF222" s="32" t="n"/>
      <c r="AG222" s="33" t="n"/>
      <c r="AH222" s="43" t="n"/>
      <c r="AI222" s="43" t="n"/>
      <c r="AJ222" s="44" t="n"/>
      <c r="AL222" s="35" t="n"/>
      <c r="AM222" s="35" t="n"/>
      <c r="AN222" s="35" t="n"/>
    </row>
    <row r="223">
      <c r="A223" s="27" t="n"/>
      <c r="B223" s="28" t="n"/>
      <c r="C223" s="28" t="n"/>
      <c r="D223" s="28" t="n"/>
      <c r="E223" s="45" t="n"/>
      <c r="F223" s="46" t="n"/>
      <c r="G223" s="46" t="n"/>
      <c r="H223" s="46" t="n"/>
      <c r="I223" s="46" t="n"/>
      <c r="J223" s="40" t="n"/>
      <c r="L223" s="45" t="n"/>
      <c r="M223" s="45" t="n"/>
      <c r="N223" s="45" t="n"/>
      <c r="O223" s="45" t="n"/>
      <c r="P223" s="31" t="n"/>
      <c r="Q223" s="46" t="n"/>
      <c r="R223" s="46" t="n"/>
      <c r="S223" s="46" t="n"/>
      <c r="T223" s="42" t="n"/>
      <c r="V223" s="45" t="n"/>
      <c r="W223" s="45" t="n"/>
      <c r="X223" s="45" t="n"/>
      <c r="Y223" s="31" t="n"/>
      <c r="Z223" s="46" t="n"/>
      <c r="AA223" s="46" t="n"/>
      <c r="AB223" s="46" t="n"/>
      <c r="AC223" s="42" t="n"/>
      <c r="AE223" s="32" t="n"/>
      <c r="AF223" s="32" t="n"/>
      <c r="AG223" s="33" t="n"/>
      <c r="AH223" s="43" t="n"/>
      <c r="AI223" s="43" t="n"/>
      <c r="AJ223" s="44" t="n"/>
      <c r="AL223" s="35" t="n"/>
      <c r="AM223" s="35" t="n"/>
      <c r="AN223" s="35" t="n"/>
    </row>
    <row r="224">
      <c r="A224" s="27" t="n"/>
      <c r="B224" s="28" t="n"/>
      <c r="C224" s="28" t="n"/>
      <c r="D224" s="28" t="n"/>
      <c r="E224" s="45" t="n"/>
      <c r="F224" s="46" t="n"/>
      <c r="G224" s="46" t="n"/>
      <c r="H224" s="46" t="n"/>
      <c r="I224" s="46" t="n"/>
      <c r="J224" s="40" t="n"/>
      <c r="L224" s="45" t="n"/>
      <c r="M224" s="45" t="n"/>
      <c r="N224" s="45" t="n"/>
      <c r="O224" s="45" t="n"/>
      <c r="P224" s="31" t="n"/>
      <c r="Q224" s="46" t="n"/>
      <c r="R224" s="46" t="n"/>
      <c r="S224" s="46" t="n"/>
      <c r="T224" s="42" t="n"/>
      <c r="V224" s="45" t="n"/>
      <c r="W224" s="45" t="n"/>
      <c r="X224" s="45" t="n"/>
      <c r="Y224" s="31" t="n"/>
      <c r="Z224" s="46" t="n"/>
      <c r="AA224" s="46" t="n"/>
      <c r="AB224" s="46" t="n"/>
      <c r="AC224" s="42" t="n"/>
      <c r="AE224" s="32" t="n"/>
      <c r="AF224" s="32" t="n"/>
      <c r="AG224" s="33" t="n"/>
      <c r="AH224" s="43" t="n"/>
      <c r="AI224" s="43" t="n"/>
      <c r="AJ224" s="44" t="n"/>
      <c r="AL224" s="35" t="n"/>
      <c r="AM224" s="35" t="n"/>
      <c r="AN224" s="35" t="n"/>
    </row>
    <row r="225">
      <c r="A225" s="27" t="n"/>
      <c r="B225" s="28" t="n"/>
      <c r="C225" s="28" t="n"/>
      <c r="D225" s="28" t="n"/>
      <c r="E225" s="45" t="n"/>
      <c r="F225" s="46" t="n"/>
      <c r="G225" s="46" t="n"/>
      <c r="H225" s="46" t="n"/>
      <c r="I225" s="46" t="n"/>
      <c r="J225" s="40" t="n"/>
      <c r="L225" s="45" t="n"/>
      <c r="M225" s="45" t="n"/>
      <c r="N225" s="45" t="n"/>
      <c r="O225" s="45" t="n"/>
      <c r="P225" s="31" t="n"/>
      <c r="Q225" s="46" t="n"/>
      <c r="R225" s="46" t="n"/>
      <c r="S225" s="46" t="n"/>
      <c r="T225" s="42" t="n"/>
      <c r="V225" s="45" t="n"/>
      <c r="W225" s="45" t="n"/>
      <c r="X225" s="45" t="n"/>
      <c r="Y225" s="31" t="n"/>
      <c r="Z225" s="46" t="n"/>
      <c r="AA225" s="46" t="n"/>
      <c r="AB225" s="46" t="n"/>
      <c r="AC225" s="42" t="n"/>
      <c r="AE225" s="32" t="n"/>
      <c r="AF225" s="32" t="n"/>
      <c r="AG225" s="33" t="n"/>
      <c r="AH225" s="43" t="n"/>
      <c r="AI225" s="43" t="n"/>
      <c r="AJ225" s="44" t="n"/>
      <c r="AL225" s="35" t="n"/>
      <c r="AM225" s="35" t="n"/>
      <c r="AN225" s="35" t="n"/>
    </row>
    <row r="226">
      <c r="A226" s="27" t="n"/>
      <c r="B226" s="28" t="n"/>
      <c r="C226" s="28" t="n"/>
      <c r="D226" s="28" t="n"/>
      <c r="E226" s="45" t="n"/>
      <c r="F226" s="46" t="n"/>
      <c r="G226" s="46" t="n"/>
      <c r="H226" s="46" t="n"/>
      <c r="I226" s="46" t="n"/>
      <c r="J226" s="40" t="n"/>
      <c r="L226" s="45" t="n"/>
      <c r="M226" s="45" t="n"/>
      <c r="N226" s="45" t="n"/>
      <c r="O226" s="45" t="n"/>
      <c r="P226" s="31" t="n"/>
      <c r="Q226" s="46" t="n"/>
      <c r="R226" s="46" t="n"/>
      <c r="S226" s="46" t="n"/>
      <c r="T226" s="42" t="n"/>
      <c r="V226" s="45" t="n"/>
      <c r="W226" s="45" t="n"/>
      <c r="X226" s="45" t="n"/>
      <c r="Y226" s="31" t="n"/>
      <c r="Z226" s="46" t="n"/>
      <c r="AA226" s="46" t="n"/>
      <c r="AB226" s="46" t="n"/>
      <c r="AC226" s="42" t="n"/>
      <c r="AE226" s="32" t="n"/>
      <c r="AF226" s="32" t="n"/>
      <c r="AG226" s="33" t="n"/>
      <c r="AH226" s="43" t="n"/>
      <c r="AI226" s="43" t="n"/>
      <c r="AJ226" s="44" t="n"/>
      <c r="AL226" s="35" t="n"/>
      <c r="AM226" s="35" t="n"/>
      <c r="AN226" s="35" t="n"/>
    </row>
    <row r="227">
      <c r="A227" s="27" t="n"/>
      <c r="B227" s="28" t="n"/>
      <c r="C227" s="28" t="n"/>
      <c r="D227" s="28" t="n"/>
      <c r="E227" s="45" t="n"/>
      <c r="F227" s="46" t="n"/>
      <c r="G227" s="46" t="n"/>
      <c r="H227" s="46" t="n"/>
      <c r="I227" s="46" t="n"/>
      <c r="J227" s="40" t="n"/>
      <c r="L227" s="45" t="n"/>
      <c r="M227" s="45" t="n"/>
      <c r="N227" s="45" t="n"/>
      <c r="O227" s="45" t="n"/>
      <c r="P227" s="31" t="n"/>
      <c r="Q227" s="46" t="n"/>
      <c r="R227" s="46" t="n"/>
      <c r="S227" s="46" t="n"/>
      <c r="T227" s="42" t="n"/>
      <c r="V227" s="45" t="n"/>
      <c r="W227" s="45" t="n"/>
      <c r="X227" s="45" t="n"/>
      <c r="Y227" s="31" t="n"/>
      <c r="Z227" s="46" t="n"/>
      <c r="AA227" s="46" t="n"/>
      <c r="AB227" s="46" t="n"/>
      <c r="AC227" s="42" t="n"/>
      <c r="AE227" s="32" t="n"/>
      <c r="AF227" s="32" t="n"/>
      <c r="AG227" s="33" t="n"/>
      <c r="AH227" s="43" t="n"/>
      <c r="AI227" s="43" t="n"/>
      <c r="AJ227" s="44" t="n"/>
      <c r="AL227" s="35" t="n"/>
      <c r="AM227" s="35" t="n"/>
      <c r="AN227" s="35" t="n"/>
    </row>
    <row r="228">
      <c r="A228" s="27" t="n"/>
      <c r="B228" s="28" t="n"/>
      <c r="C228" s="28" t="n"/>
      <c r="D228" s="28" t="n"/>
      <c r="E228" s="45" t="n"/>
      <c r="F228" s="46" t="n"/>
      <c r="G228" s="46" t="n"/>
      <c r="H228" s="46" t="n"/>
      <c r="I228" s="46" t="n"/>
      <c r="J228" s="40" t="n"/>
      <c r="L228" s="45" t="n"/>
      <c r="M228" s="45" t="n"/>
      <c r="N228" s="45" t="n"/>
      <c r="O228" s="45" t="n"/>
      <c r="P228" s="31" t="n"/>
      <c r="Q228" s="46" t="n"/>
      <c r="R228" s="46" t="n"/>
      <c r="S228" s="46" t="n"/>
      <c r="T228" s="42" t="n"/>
      <c r="V228" s="45" t="n"/>
      <c r="W228" s="45" t="n"/>
      <c r="X228" s="45" t="n"/>
      <c r="Y228" s="31" t="n"/>
      <c r="Z228" s="46" t="n"/>
      <c r="AA228" s="46" t="n"/>
      <c r="AB228" s="46" t="n"/>
      <c r="AC228" s="42" t="n"/>
      <c r="AE228" s="32" t="n"/>
      <c r="AF228" s="32" t="n"/>
      <c r="AG228" s="33" t="n"/>
      <c r="AH228" s="43" t="n"/>
      <c r="AI228" s="43" t="n"/>
      <c r="AJ228" s="44" t="n"/>
      <c r="AL228" s="35" t="n"/>
      <c r="AM228" s="35" t="n"/>
      <c r="AN228" s="35" t="n"/>
    </row>
    <row r="229">
      <c r="A229" s="27" t="n"/>
      <c r="B229" s="28" t="n"/>
      <c r="C229" s="28" t="n"/>
      <c r="D229" s="28" t="n"/>
      <c r="E229" s="45" t="n"/>
      <c r="F229" s="46" t="n"/>
      <c r="G229" s="46" t="n"/>
      <c r="H229" s="46" t="n"/>
      <c r="I229" s="46" t="n"/>
      <c r="J229" s="40" t="n"/>
      <c r="L229" s="45" t="n"/>
      <c r="M229" s="45" t="n"/>
      <c r="N229" s="45" t="n"/>
      <c r="O229" s="45" t="n"/>
      <c r="P229" s="31" t="n"/>
      <c r="Q229" s="46" t="n"/>
      <c r="R229" s="46" t="n"/>
      <c r="S229" s="46" t="n"/>
      <c r="T229" s="42" t="n"/>
      <c r="V229" s="45" t="n"/>
      <c r="W229" s="45" t="n"/>
      <c r="X229" s="45" t="n"/>
      <c r="Y229" s="31" t="n"/>
      <c r="Z229" s="46" t="n"/>
      <c r="AA229" s="46" t="n"/>
      <c r="AB229" s="46" t="n"/>
      <c r="AC229" s="42" t="n"/>
      <c r="AE229" s="32" t="n"/>
      <c r="AF229" s="32" t="n"/>
      <c r="AG229" s="33" t="n"/>
      <c r="AH229" s="43" t="n"/>
      <c r="AI229" s="43" t="n"/>
      <c r="AJ229" s="44" t="n"/>
      <c r="AL229" s="35" t="n"/>
      <c r="AM229" s="35" t="n"/>
      <c r="AN229" s="35" t="n"/>
    </row>
    <row r="230">
      <c r="A230" s="27" t="n"/>
      <c r="B230" s="28" t="n"/>
      <c r="C230" s="28" t="n"/>
      <c r="D230" s="28" t="n"/>
      <c r="E230" s="45" t="n"/>
      <c r="F230" s="46" t="n"/>
      <c r="G230" s="46" t="n"/>
      <c r="H230" s="46" t="n"/>
      <c r="I230" s="46" t="n"/>
      <c r="J230" s="40" t="n"/>
      <c r="L230" s="45" t="n"/>
      <c r="M230" s="45" t="n"/>
      <c r="N230" s="45" t="n"/>
      <c r="O230" s="45" t="n"/>
      <c r="P230" s="31" t="n"/>
      <c r="Q230" s="46" t="n"/>
      <c r="R230" s="46" t="n"/>
      <c r="S230" s="46" t="n"/>
      <c r="T230" s="42" t="n"/>
      <c r="V230" s="45" t="n"/>
      <c r="W230" s="45" t="n"/>
      <c r="X230" s="45" t="n"/>
      <c r="Y230" s="31" t="n"/>
      <c r="Z230" s="46" t="n"/>
      <c r="AA230" s="46" t="n"/>
      <c r="AB230" s="46" t="n"/>
      <c r="AC230" s="42" t="n"/>
      <c r="AE230" s="32" t="n"/>
      <c r="AF230" s="32" t="n"/>
      <c r="AG230" s="33" t="n"/>
      <c r="AH230" s="43" t="n"/>
      <c r="AI230" s="43" t="n"/>
      <c r="AJ230" s="44" t="n"/>
      <c r="AL230" s="35" t="n"/>
      <c r="AM230" s="35" t="n"/>
      <c r="AN230" s="35" t="n"/>
    </row>
    <row r="231">
      <c r="A231" s="27" t="n"/>
      <c r="B231" s="28" t="n"/>
      <c r="C231" s="28" t="n"/>
      <c r="D231" s="28" t="n"/>
      <c r="E231" s="45" t="n"/>
      <c r="F231" s="46" t="n"/>
      <c r="G231" s="46" t="n"/>
      <c r="H231" s="46" t="n"/>
      <c r="I231" s="46" t="n"/>
      <c r="J231" s="40" t="n"/>
      <c r="L231" s="45" t="n"/>
      <c r="M231" s="45" t="n"/>
      <c r="N231" s="45" t="n"/>
      <c r="O231" s="45" t="n"/>
      <c r="P231" s="31" t="n"/>
      <c r="Q231" s="46" t="n"/>
      <c r="R231" s="46" t="n"/>
      <c r="S231" s="46" t="n"/>
      <c r="T231" s="42" t="n"/>
      <c r="V231" s="45" t="n"/>
      <c r="W231" s="45" t="n"/>
      <c r="X231" s="45" t="n"/>
      <c r="Y231" s="31" t="n"/>
      <c r="Z231" s="46" t="n"/>
      <c r="AA231" s="46" t="n"/>
      <c r="AB231" s="46" t="n"/>
      <c r="AC231" s="42" t="n"/>
      <c r="AE231" s="32" t="n"/>
      <c r="AF231" s="32" t="n"/>
      <c r="AG231" s="33" t="n"/>
      <c r="AH231" s="43" t="n"/>
      <c r="AI231" s="43" t="n"/>
      <c r="AJ231" s="44" t="n"/>
      <c r="AL231" s="35" t="n"/>
      <c r="AM231" s="35" t="n"/>
      <c r="AN231" s="35" t="n"/>
    </row>
    <row r="232">
      <c r="A232" s="27" t="n"/>
      <c r="B232" s="28" t="n"/>
      <c r="C232" s="28" t="n"/>
      <c r="D232" s="28" t="n"/>
      <c r="E232" s="45" t="n"/>
      <c r="F232" s="46" t="n"/>
      <c r="G232" s="46" t="n"/>
      <c r="H232" s="46" t="n"/>
      <c r="I232" s="46" t="n"/>
      <c r="J232" s="40" t="n"/>
      <c r="L232" s="45" t="n"/>
      <c r="M232" s="45" t="n"/>
      <c r="N232" s="45" t="n"/>
      <c r="O232" s="45" t="n"/>
      <c r="P232" s="31" t="n"/>
      <c r="Q232" s="46" t="n"/>
      <c r="R232" s="46" t="n"/>
      <c r="S232" s="46" t="n"/>
      <c r="T232" s="42" t="n"/>
      <c r="V232" s="45" t="n"/>
      <c r="W232" s="45" t="n"/>
      <c r="X232" s="45" t="n"/>
      <c r="Y232" s="31" t="n"/>
      <c r="Z232" s="46" t="n"/>
      <c r="AA232" s="46" t="n"/>
      <c r="AB232" s="46" t="n"/>
      <c r="AC232" s="42" t="n"/>
      <c r="AE232" s="32" t="n"/>
      <c r="AF232" s="32" t="n"/>
      <c r="AG232" s="33" t="n"/>
      <c r="AH232" s="43" t="n"/>
      <c r="AI232" s="43" t="n"/>
      <c r="AJ232" s="44" t="n"/>
      <c r="AL232" s="35" t="n"/>
      <c r="AM232" s="35" t="n"/>
      <c r="AN232" s="35" t="n"/>
    </row>
    <row r="233">
      <c r="A233" s="27" t="n"/>
      <c r="B233" s="28" t="n"/>
      <c r="C233" s="28" t="n"/>
      <c r="D233" s="28" t="n"/>
      <c r="E233" s="45" t="n"/>
      <c r="F233" s="46" t="n"/>
      <c r="G233" s="46" t="n"/>
      <c r="H233" s="46" t="n"/>
      <c r="I233" s="46" t="n"/>
      <c r="J233" s="40" t="n"/>
      <c r="L233" s="45" t="n"/>
      <c r="M233" s="45" t="n"/>
      <c r="N233" s="45" t="n"/>
      <c r="O233" s="45" t="n"/>
      <c r="P233" s="31" t="n"/>
      <c r="Q233" s="46" t="n"/>
      <c r="R233" s="46" t="n"/>
      <c r="S233" s="46" t="n"/>
      <c r="T233" s="42" t="n"/>
      <c r="V233" s="45" t="n"/>
      <c r="W233" s="45" t="n"/>
      <c r="X233" s="45" t="n"/>
      <c r="Y233" s="31" t="n"/>
      <c r="Z233" s="46" t="n"/>
      <c r="AA233" s="46" t="n"/>
      <c r="AB233" s="46" t="n"/>
      <c r="AC233" s="42" t="n"/>
      <c r="AE233" s="32" t="n"/>
      <c r="AF233" s="32" t="n"/>
      <c r="AG233" s="33" t="n"/>
      <c r="AH233" s="43" t="n"/>
      <c r="AI233" s="43" t="n"/>
      <c r="AJ233" s="44" t="n"/>
      <c r="AL233" s="35" t="n"/>
      <c r="AM233" s="35" t="n"/>
      <c r="AN233" s="35" t="n"/>
    </row>
    <row r="234">
      <c r="A234" s="27" t="n"/>
      <c r="B234" s="28" t="n"/>
      <c r="C234" s="28" t="n"/>
      <c r="D234" s="28" t="n"/>
      <c r="E234" s="45" t="n"/>
      <c r="F234" s="46" t="n"/>
      <c r="G234" s="46" t="n"/>
      <c r="H234" s="46" t="n"/>
      <c r="I234" s="46" t="n"/>
      <c r="J234" s="40" t="n"/>
      <c r="L234" s="45" t="n"/>
      <c r="M234" s="45" t="n"/>
      <c r="N234" s="45" t="n"/>
      <c r="O234" s="45" t="n"/>
      <c r="P234" s="31" t="n"/>
      <c r="Q234" s="46" t="n"/>
      <c r="R234" s="46" t="n"/>
      <c r="S234" s="46" t="n"/>
      <c r="T234" s="42" t="n"/>
      <c r="V234" s="45" t="n"/>
      <c r="W234" s="45" t="n"/>
      <c r="X234" s="45" t="n"/>
      <c r="Y234" s="31" t="n"/>
      <c r="Z234" s="46" t="n"/>
      <c r="AA234" s="46" t="n"/>
      <c r="AB234" s="46" t="n"/>
      <c r="AC234" s="42" t="n"/>
      <c r="AE234" s="32" t="n"/>
      <c r="AF234" s="32" t="n"/>
      <c r="AG234" s="33" t="n"/>
      <c r="AH234" s="43" t="n"/>
      <c r="AI234" s="43" t="n"/>
      <c r="AJ234" s="44" t="n"/>
      <c r="AL234" s="35" t="n"/>
      <c r="AM234" s="35" t="n"/>
      <c r="AN234" s="35" t="n"/>
    </row>
    <row r="235">
      <c r="A235" s="27" t="n"/>
      <c r="B235" s="28" t="n"/>
      <c r="C235" s="28" t="n"/>
      <c r="D235" s="28" t="n"/>
      <c r="E235" s="45" t="n"/>
      <c r="F235" s="46" t="n"/>
      <c r="G235" s="46" t="n"/>
      <c r="H235" s="46" t="n"/>
      <c r="I235" s="46" t="n"/>
      <c r="J235" s="40" t="n"/>
      <c r="L235" s="45" t="n"/>
      <c r="M235" s="45" t="n"/>
      <c r="N235" s="45" t="n"/>
      <c r="O235" s="45" t="n"/>
      <c r="P235" s="31" t="n"/>
      <c r="Q235" s="46" t="n"/>
      <c r="R235" s="46" t="n"/>
      <c r="S235" s="46" t="n"/>
      <c r="T235" s="42" t="n"/>
      <c r="V235" s="45" t="n"/>
      <c r="W235" s="45" t="n"/>
      <c r="X235" s="45" t="n"/>
      <c r="Y235" s="31" t="n"/>
      <c r="Z235" s="46" t="n"/>
      <c r="AA235" s="46" t="n"/>
      <c r="AB235" s="46" t="n"/>
      <c r="AC235" s="42" t="n"/>
      <c r="AE235" s="32" t="n"/>
      <c r="AF235" s="32" t="n"/>
      <c r="AG235" s="33" t="n"/>
      <c r="AH235" s="43" t="n"/>
      <c r="AI235" s="43" t="n"/>
      <c r="AJ235" s="44" t="n"/>
      <c r="AL235" s="35" t="n"/>
      <c r="AM235" s="35" t="n"/>
      <c r="AN235" s="35" t="n"/>
    </row>
    <row r="236">
      <c r="A236" s="27" t="n"/>
      <c r="B236" s="28" t="n"/>
      <c r="C236" s="28" t="n"/>
      <c r="D236" s="28" t="n"/>
      <c r="E236" s="45" t="n"/>
      <c r="F236" s="46" t="n"/>
      <c r="G236" s="46" t="n"/>
      <c r="H236" s="46" t="n"/>
      <c r="I236" s="46" t="n"/>
      <c r="J236" s="40" t="n"/>
      <c r="L236" s="45" t="n"/>
      <c r="M236" s="45" t="n"/>
      <c r="N236" s="45" t="n"/>
      <c r="O236" s="45" t="n"/>
      <c r="P236" s="31" t="n"/>
      <c r="Q236" s="46" t="n"/>
      <c r="R236" s="46" t="n"/>
      <c r="S236" s="46" t="n"/>
      <c r="T236" s="42" t="n"/>
      <c r="V236" s="45" t="n"/>
      <c r="W236" s="45" t="n"/>
      <c r="X236" s="45" t="n"/>
      <c r="Y236" s="31" t="n"/>
      <c r="Z236" s="46" t="n"/>
      <c r="AA236" s="46" t="n"/>
      <c r="AB236" s="46" t="n"/>
      <c r="AC236" s="42" t="n"/>
      <c r="AE236" s="32" t="n"/>
      <c r="AF236" s="32" t="n"/>
      <c r="AG236" s="33" t="n"/>
      <c r="AH236" s="43" t="n"/>
      <c r="AI236" s="43" t="n"/>
      <c r="AJ236" s="44" t="n"/>
      <c r="AL236" s="35" t="n"/>
      <c r="AM236" s="35" t="n"/>
      <c r="AN236" s="35" t="n"/>
    </row>
    <row r="237">
      <c r="A237" s="27" t="n"/>
      <c r="B237" s="28" t="n"/>
      <c r="C237" s="28" t="n"/>
      <c r="D237" s="28" t="n"/>
      <c r="E237" s="45" t="n"/>
      <c r="F237" s="46" t="n"/>
      <c r="G237" s="46" t="n"/>
      <c r="H237" s="46" t="n"/>
      <c r="I237" s="46" t="n"/>
      <c r="J237" s="40" t="n"/>
      <c r="L237" s="45" t="n"/>
      <c r="M237" s="45" t="n"/>
      <c r="N237" s="45" t="n"/>
      <c r="O237" s="45" t="n"/>
      <c r="P237" s="31" t="n"/>
      <c r="Q237" s="46" t="n"/>
      <c r="R237" s="46" t="n"/>
      <c r="S237" s="46" t="n"/>
      <c r="T237" s="42" t="n"/>
      <c r="V237" s="45" t="n"/>
      <c r="W237" s="45" t="n"/>
      <c r="X237" s="45" t="n"/>
      <c r="Y237" s="31" t="n"/>
      <c r="Z237" s="46" t="n"/>
      <c r="AA237" s="46" t="n"/>
      <c r="AB237" s="46" t="n"/>
      <c r="AC237" s="42" t="n"/>
      <c r="AE237" s="32" t="n"/>
      <c r="AF237" s="32" t="n"/>
      <c r="AG237" s="33" t="n"/>
      <c r="AH237" s="43" t="n"/>
      <c r="AI237" s="43" t="n"/>
      <c r="AJ237" s="44" t="n"/>
      <c r="AL237" s="35" t="n"/>
      <c r="AM237" s="35" t="n"/>
      <c r="AN237" s="35" t="n"/>
    </row>
    <row r="238">
      <c r="A238" s="27" t="n"/>
      <c r="B238" s="28" t="n"/>
      <c r="C238" s="28" t="n"/>
      <c r="D238" s="28" t="n"/>
      <c r="E238" s="45" t="n"/>
      <c r="F238" s="46" t="n"/>
      <c r="G238" s="46" t="n"/>
      <c r="H238" s="46" t="n"/>
      <c r="I238" s="46" t="n"/>
      <c r="J238" s="40" t="n"/>
      <c r="L238" s="45" t="n"/>
      <c r="M238" s="45" t="n"/>
      <c r="N238" s="45" t="n"/>
      <c r="O238" s="45" t="n"/>
      <c r="P238" s="31" t="n"/>
      <c r="Q238" s="46" t="n"/>
      <c r="R238" s="46" t="n"/>
      <c r="S238" s="46" t="n"/>
      <c r="T238" s="42" t="n"/>
      <c r="V238" s="45" t="n"/>
      <c r="W238" s="45" t="n"/>
      <c r="X238" s="45" t="n"/>
      <c r="Y238" s="31" t="n"/>
      <c r="Z238" s="46" t="n"/>
      <c r="AA238" s="46" t="n"/>
      <c r="AB238" s="46" t="n"/>
      <c r="AC238" s="42" t="n"/>
      <c r="AE238" s="32" t="n"/>
      <c r="AF238" s="32" t="n"/>
      <c r="AG238" s="33" t="n"/>
      <c r="AH238" s="43" t="n"/>
      <c r="AI238" s="43" t="n"/>
      <c r="AJ238" s="44" t="n"/>
      <c r="AL238" s="35" t="n"/>
      <c r="AM238" s="35" t="n"/>
      <c r="AN238" s="35" t="n"/>
    </row>
    <row r="239">
      <c r="A239" s="27" t="n"/>
      <c r="B239" s="28" t="n"/>
      <c r="C239" s="28" t="n"/>
      <c r="D239" s="28" t="n"/>
      <c r="E239" s="45" t="n"/>
      <c r="F239" s="46" t="n"/>
      <c r="G239" s="46" t="n"/>
      <c r="H239" s="46" t="n"/>
      <c r="I239" s="46" t="n"/>
      <c r="J239" s="40" t="n"/>
      <c r="L239" s="45" t="n"/>
      <c r="M239" s="45" t="n"/>
      <c r="N239" s="45" t="n"/>
      <c r="O239" s="45" t="n"/>
      <c r="P239" s="31" t="n"/>
      <c r="Q239" s="46" t="n"/>
      <c r="R239" s="46" t="n"/>
      <c r="S239" s="46" t="n"/>
      <c r="T239" s="42" t="n"/>
      <c r="V239" s="45" t="n"/>
      <c r="W239" s="45" t="n"/>
      <c r="X239" s="45" t="n"/>
      <c r="Y239" s="31" t="n"/>
      <c r="Z239" s="46" t="n"/>
      <c r="AA239" s="46" t="n"/>
      <c r="AB239" s="46" t="n"/>
      <c r="AC239" s="42" t="n"/>
      <c r="AE239" s="32" t="n"/>
      <c r="AF239" s="32" t="n"/>
      <c r="AG239" s="33" t="n"/>
      <c r="AH239" s="43" t="n"/>
      <c r="AI239" s="43" t="n"/>
      <c r="AJ239" s="44" t="n"/>
      <c r="AL239" s="35" t="n"/>
      <c r="AM239" s="35" t="n"/>
      <c r="AN239" s="35" t="n"/>
    </row>
    <row r="240">
      <c r="A240" s="27" t="n"/>
      <c r="B240" s="28" t="n"/>
      <c r="C240" s="28" t="n"/>
      <c r="D240" s="28" t="n"/>
      <c r="E240" s="45" t="n"/>
      <c r="F240" s="46" t="n"/>
      <c r="G240" s="46" t="n"/>
      <c r="H240" s="46" t="n"/>
      <c r="I240" s="46" t="n"/>
      <c r="J240" s="40" t="n"/>
      <c r="L240" s="45" t="n"/>
      <c r="M240" s="45" t="n"/>
      <c r="N240" s="45" t="n"/>
      <c r="O240" s="45" t="n"/>
      <c r="P240" s="31" t="n"/>
      <c r="Q240" s="46" t="n"/>
      <c r="R240" s="46" t="n"/>
      <c r="S240" s="46" t="n"/>
      <c r="T240" s="42" t="n"/>
      <c r="V240" s="45" t="n"/>
      <c r="W240" s="45" t="n"/>
      <c r="X240" s="45" t="n"/>
      <c r="Y240" s="31" t="n"/>
      <c r="Z240" s="46" t="n"/>
      <c r="AA240" s="46" t="n"/>
      <c r="AB240" s="46" t="n"/>
      <c r="AC240" s="42" t="n"/>
      <c r="AE240" s="32" t="n"/>
      <c r="AF240" s="32" t="n"/>
      <c r="AG240" s="33" t="n"/>
      <c r="AH240" s="43" t="n"/>
      <c r="AI240" s="43" t="n"/>
      <c r="AJ240" s="44" t="n"/>
      <c r="AL240" s="35" t="n"/>
      <c r="AM240" s="35" t="n"/>
      <c r="AN240" s="35" t="n"/>
    </row>
    <row r="241">
      <c r="A241" s="27" t="n"/>
      <c r="B241" s="28" t="n"/>
      <c r="C241" s="28" t="n"/>
      <c r="D241" s="28" t="n"/>
      <c r="E241" s="45" t="n"/>
      <c r="F241" s="46" t="n"/>
      <c r="G241" s="46" t="n"/>
      <c r="H241" s="46" t="n"/>
      <c r="I241" s="46" t="n"/>
      <c r="J241" s="40" t="n"/>
      <c r="L241" s="45" t="n"/>
      <c r="M241" s="45" t="n"/>
      <c r="N241" s="45" t="n"/>
      <c r="O241" s="45" t="n"/>
      <c r="P241" s="31" t="n"/>
      <c r="Q241" s="46" t="n"/>
      <c r="R241" s="46" t="n"/>
      <c r="S241" s="46" t="n"/>
      <c r="T241" s="42" t="n"/>
      <c r="V241" s="45" t="n"/>
      <c r="W241" s="45" t="n"/>
      <c r="X241" s="45" t="n"/>
      <c r="Y241" s="31" t="n"/>
      <c r="Z241" s="46" t="n"/>
      <c r="AA241" s="46" t="n"/>
      <c r="AB241" s="46" t="n"/>
      <c r="AC241" s="42" t="n"/>
      <c r="AE241" s="32" t="n"/>
      <c r="AF241" s="32" t="n"/>
      <c r="AG241" s="33" t="n"/>
      <c r="AH241" s="43" t="n"/>
      <c r="AI241" s="43" t="n"/>
      <c r="AJ241" s="44" t="n"/>
      <c r="AL241" s="35" t="n"/>
      <c r="AM241" s="35" t="n"/>
      <c r="AN241" s="35" t="n"/>
    </row>
    <row r="242">
      <c r="A242" s="27" t="n"/>
      <c r="B242" s="28" t="n"/>
      <c r="C242" s="28" t="n"/>
      <c r="D242" s="28" t="n"/>
      <c r="E242" s="45" t="n"/>
      <c r="F242" s="46" t="n"/>
      <c r="G242" s="46" t="n"/>
      <c r="H242" s="46" t="n"/>
      <c r="I242" s="46" t="n"/>
      <c r="J242" s="40" t="n"/>
      <c r="L242" s="45" t="n"/>
      <c r="M242" s="45" t="n"/>
      <c r="N242" s="45" t="n"/>
      <c r="O242" s="45" t="n"/>
      <c r="P242" s="31" t="n"/>
      <c r="Q242" s="46" t="n"/>
      <c r="R242" s="46" t="n"/>
      <c r="S242" s="46" t="n"/>
      <c r="T242" s="42" t="n"/>
      <c r="V242" s="45" t="n"/>
      <c r="W242" s="45" t="n"/>
      <c r="X242" s="45" t="n"/>
      <c r="Y242" s="31" t="n"/>
      <c r="Z242" s="46" t="n"/>
      <c r="AA242" s="46" t="n"/>
      <c r="AB242" s="46" t="n"/>
      <c r="AC242" s="42" t="n"/>
      <c r="AE242" s="32" t="n"/>
      <c r="AF242" s="32" t="n"/>
      <c r="AG242" s="33" t="n"/>
      <c r="AH242" s="43" t="n"/>
      <c r="AI242" s="43" t="n"/>
      <c r="AJ242" s="44" t="n"/>
      <c r="AL242" s="35" t="n"/>
      <c r="AM242" s="35" t="n"/>
      <c r="AN242" s="35" t="n"/>
    </row>
    <row r="243">
      <c r="A243" s="27" t="n"/>
      <c r="B243" s="28" t="n"/>
      <c r="C243" s="28" t="n"/>
      <c r="D243" s="28" t="n"/>
      <c r="E243" s="45" t="n"/>
      <c r="F243" s="46" t="n"/>
      <c r="G243" s="46" t="n"/>
      <c r="H243" s="46" t="n"/>
      <c r="I243" s="46" t="n"/>
      <c r="J243" s="40" t="n"/>
      <c r="L243" s="45" t="n"/>
      <c r="M243" s="45" t="n"/>
      <c r="N243" s="45" t="n"/>
      <c r="O243" s="45" t="n"/>
      <c r="P243" s="31" t="n"/>
      <c r="Q243" s="46" t="n"/>
      <c r="R243" s="46" t="n"/>
      <c r="S243" s="46" t="n"/>
      <c r="T243" s="42" t="n"/>
      <c r="V243" s="45" t="n"/>
      <c r="W243" s="45" t="n"/>
      <c r="X243" s="45" t="n"/>
      <c r="Y243" s="31" t="n"/>
      <c r="Z243" s="46" t="n"/>
      <c r="AA243" s="46" t="n"/>
      <c r="AB243" s="46" t="n"/>
      <c r="AC243" s="42" t="n"/>
      <c r="AE243" s="32" t="n"/>
      <c r="AF243" s="32" t="n"/>
      <c r="AG243" s="33" t="n"/>
      <c r="AH243" s="43" t="n"/>
      <c r="AI243" s="43" t="n"/>
      <c r="AJ243" s="44" t="n"/>
      <c r="AL243" s="35" t="n"/>
      <c r="AM243" s="35" t="n"/>
      <c r="AN243" s="35" t="n"/>
    </row>
    <row r="244">
      <c r="A244" s="27" t="n"/>
      <c r="B244" s="28" t="n"/>
      <c r="C244" s="28" t="n"/>
      <c r="D244" s="28" t="n"/>
      <c r="E244" s="45" t="n"/>
      <c r="F244" s="46" t="n"/>
      <c r="G244" s="46" t="n"/>
      <c r="H244" s="46" t="n"/>
      <c r="I244" s="46" t="n"/>
      <c r="J244" s="40" t="n"/>
      <c r="L244" s="45" t="n"/>
      <c r="M244" s="45" t="n"/>
      <c r="N244" s="45" t="n"/>
      <c r="O244" s="45" t="n"/>
      <c r="P244" s="31" t="n"/>
      <c r="Q244" s="46" t="n"/>
      <c r="R244" s="46" t="n"/>
      <c r="S244" s="46" t="n"/>
      <c r="T244" s="42" t="n"/>
      <c r="V244" s="45" t="n"/>
      <c r="W244" s="45" t="n"/>
      <c r="X244" s="45" t="n"/>
      <c r="Y244" s="31" t="n"/>
      <c r="Z244" s="46" t="n"/>
      <c r="AA244" s="46" t="n"/>
      <c r="AB244" s="46" t="n"/>
      <c r="AC244" s="42" t="n"/>
      <c r="AE244" s="32" t="n"/>
      <c r="AF244" s="32" t="n"/>
      <c r="AG244" s="33" t="n"/>
      <c r="AH244" s="43" t="n"/>
      <c r="AI244" s="43" t="n"/>
      <c r="AJ244" s="44" t="n"/>
      <c r="AL244" s="35" t="n"/>
      <c r="AM244" s="35" t="n"/>
      <c r="AN244" s="35" t="n"/>
    </row>
    <row r="245">
      <c r="A245" s="27" t="n"/>
      <c r="B245" s="28" t="n"/>
      <c r="C245" s="28" t="n"/>
      <c r="D245" s="28" t="n"/>
      <c r="E245" s="45" t="n"/>
      <c r="F245" s="46" t="n"/>
      <c r="G245" s="46" t="n"/>
      <c r="H245" s="46" t="n"/>
      <c r="I245" s="46" t="n"/>
      <c r="J245" s="40" t="n"/>
      <c r="L245" s="45" t="n"/>
      <c r="M245" s="45" t="n"/>
      <c r="N245" s="45" t="n"/>
      <c r="O245" s="45" t="n"/>
      <c r="P245" s="31" t="n"/>
      <c r="Q245" s="46" t="n"/>
      <c r="R245" s="46" t="n"/>
      <c r="S245" s="46" t="n"/>
      <c r="T245" s="42" t="n"/>
      <c r="V245" s="45" t="n"/>
      <c r="W245" s="45" t="n"/>
      <c r="X245" s="45" t="n"/>
      <c r="Y245" s="31" t="n"/>
      <c r="Z245" s="46" t="n"/>
      <c r="AA245" s="46" t="n"/>
      <c r="AB245" s="46" t="n"/>
      <c r="AC245" s="42" t="n"/>
      <c r="AE245" s="32" t="n"/>
      <c r="AF245" s="32" t="n"/>
      <c r="AG245" s="33" t="n"/>
      <c r="AH245" s="43" t="n"/>
      <c r="AI245" s="43" t="n"/>
      <c r="AJ245" s="44" t="n"/>
      <c r="AL245" s="35" t="n"/>
      <c r="AM245" s="35" t="n"/>
      <c r="AN245" s="35" t="n"/>
    </row>
    <row r="246">
      <c r="A246" s="27" t="n"/>
      <c r="B246" s="28" t="n"/>
      <c r="C246" s="28" t="n"/>
      <c r="D246" s="28" t="n"/>
      <c r="E246" s="45" t="n"/>
      <c r="F246" s="46" t="n"/>
      <c r="G246" s="46" t="n"/>
      <c r="H246" s="46" t="n"/>
      <c r="I246" s="46" t="n"/>
      <c r="J246" s="40" t="n"/>
      <c r="L246" s="45" t="n"/>
      <c r="M246" s="45" t="n"/>
      <c r="N246" s="45" t="n"/>
      <c r="O246" s="45" t="n"/>
      <c r="P246" s="31" t="n"/>
      <c r="Q246" s="46" t="n"/>
      <c r="R246" s="46" t="n"/>
      <c r="S246" s="46" t="n"/>
      <c r="T246" s="42" t="n"/>
      <c r="V246" s="45" t="n"/>
      <c r="W246" s="45" t="n"/>
      <c r="X246" s="45" t="n"/>
      <c r="Y246" s="31" t="n"/>
      <c r="Z246" s="46" t="n"/>
      <c r="AA246" s="46" t="n"/>
      <c r="AB246" s="46" t="n"/>
      <c r="AC246" s="42" t="n"/>
      <c r="AE246" s="32" t="n"/>
      <c r="AF246" s="32" t="n"/>
      <c r="AG246" s="33" t="n"/>
      <c r="AH246" s="43" t="n"/>
      <c r="AI246" s="43" t="n"/>
      <c r="AJ246" s="44" t="n"/>
      <c r="AL246" s="35" t="n"/>
      <c r="AM246" s="35" t="n"/>
      <c r="AN246" s="35" t="n"/>
    </row>
    <row r="247">
      <c r="A247" s="27" t="n"/>
      <c r="B247" s="28" t="n"/>
      <c r="C247" s="28" t="n"/>
      <c r="D247" s="28" t="n"/>
      <c r="E247" s="45" t="n"/>
      <c r="F247" s="46" t="n"/>
      <c r="G247" s="46" t="n"/>
      <c r="H247" s="46" t="n"/>
      <c r="I247" s="46" t="n"/>
      <c r="J247" s="40" t="n"/>
      <c r="L247" s="45" t="n"/>
      <c r="M247" s="45" t="n"/>
      <c r="N247" s="45" t="n"/>
      <c r="O247" s="45" t="n"/>
      <c r="P247" s="31" t="n"/>
      <c r="Q247" s="46" t="n"/>
      <c r="R247" s="46" t="n"/>
      <c r="S247" s="46" t="n"/>
      <c r="T247" s="42" t="n"/>
      <c r="V247" s="45" t="n"/>
      <c r="W247" s="45" t="n"/>
      <c r="X247" s="45" t="n"/>
      <c r="Y247" s="31" t="n"/>
      <c r="Z247" s="46" t="n"/>
      <c r="AA247" s="46" t="n"/>
      <c r="AB247" s="46" t="n"/>
      <c r="AC247" s="42" t="n"/>
      <c r="AE247" s="32" t="n"/>
      <c r="AF247" s="32" t="n"/>
      <c r="AG247" s="33" t="n"/>
      <c r="AH247" s="43" t="n"/>
      <c r="AI247" s="43" t="n"/>
      <c r="AJ247" s="44" t="n"/>
      <c r="AL247" s="35" t="n"/>
      <c r="AM247" s="35" t="n"/>
      <c r="AN247" s="35" t="n"/>
    </row>
    <row r="248">
      <c r="A248" s="27" t="n"/>
      <c r="B248" s="28" t="n"/>
      <c r="C248" s="28" t="n"/>
      <c r="D248" s="28" t="n"/>
      <c r="E248" s="45" t="n"/>
      <c r="F248" s="46" t="n"/>
      <c r="G248" s="46" t="n"/>
      <c r="H248" s="46" t="n"/>
      <c r="I248" s="46" t="n"/>
      <c r="J248" s="40" t="n"/>
      <c r="L248" s="45" t="n"/>
      <c r="M248" s="45" t="n"/>
      <c r="N248" s="45" t="n"/>
      <c r="O248" s="45" t="n"/>
      <c r="P248" s="31" t="n"/>
      <c r="Q248" s="46" t="n"/>
      <c r="R248" s="46" t="n"/>
      <c r="S248" s="46" t="n"/>
      <c r="T248" s="42" t="n"/>
      <c r="V248" s="45" t="n"/>
      <c r="W248" s="45" t="n"/>
      <c r="X248" s="45" t="n"/>
      <c r="Y248" s="31" t="n"/>
      <c r="Z248" s="46" t="n"/>
      <c r="AA248" s="46" t="n"/>
      <c r="AB248" s="46" t="n"/>
      <c r="AC248" s="42" t="n"/>
      <c r="AE248" s="32" t="n"/>
      <c r="AF248" s="32" t="n"/>
      <c r="AG248" s="33" t="n"/>
      <c r="AH248" s="43" t="n"/>
      <c r="AI248" s="43" t="n"/>
      <c r="AJ248" s="44" t="n"/>
      <c r="AL248" s="35" t="n"/>
      <c r="AM248" s="35" t="n"/>
      <c r="AN248" s="35" t="n"/>
    </row>
    <row r="249">
      <c r="A249" s="27" t="n"/>
      <c r="B249" s="28" t="n"/>
      <c r="C249" s="28" t="n"/>
      <c r="D249" s="28" t="n"/>
      <c r="E249" s="45" t="n"/>
      <c r="F249" s="46" t="n"/>
      <c r="G249" s="46" t="n"/>
      <c r="H249" s="46" t="n"/>
      <c r="I249" s="46" t="n"/>
      <c r="J249" s="40" t="n"/>
      <c r="L249" s="45" t="n"/>
      <c r="M249" s="45" t="n"/>
      <c r="N249" s="45" t="n"/>
      <c r="O249" s="45" t="n"/>
      <c r="P249" s="31" t="n"/>
      <c r="Q249" s="46" t="n"/>
      <c r="R249" s="46" t="n"/>
      <c r="S249" s="46" t="n"/>
      <c r="T249" s="42" t="n"/>
      <c r="V249" s="45" t="n"/>
      <c r="W249" s="45" t="n"/>
      <c r="X249" s="45" t="n"/>
      <c r="Y249" s="31" t="n"/>
      <c r="Z249" s="46" t="n"/>
      <c r="AA249" s="46" t="n"/>
      <c r="AB249" s="46" t="n"/>
      <c r="AC249" s="42" t="n"/>
      <c r="AE249" s="32" t="n"/>
      <c r="AF249" s="32" t="n"/>
      <c r="AG249" s="33" t="n"/>
      <c r="AH249" s="43" t="n"/>
      <c r="AI249" s="43" t="n"/>
      <c r="AJ249" s="44" t="n"/>
      <c r="AL249" s="35" t="n"/>
      <c r="AM249" s="35" t="n"/>
      <c r="AN249" s="35" t="n"/>
    </row>
    <row r="250">
      <c r="A250" s="27" t="n"/>
      <c r="B250" s="28" t="n"/>
      <c r="C250" s="28" t="n"/>
      <c r="D250" s="28" t="n"/>
      <c r="E250" s="45" t="n"/>
      <c r="F250" s="46" t="n"/>
      <c r="G250" s="46" t="n"/>
      <c r="H250" s="46" t="n"/>
      <c r="I250" s="46" t="n"/>
      <c r="J250" s="40" t="n"/>
      <c r="L250" s="45" t="n"/>
      <c r="M250" s="45" t="n"/>
      <c r="N250" s="45" t="n"/>
      <c r="O250" s="45" t="n"/>
      <c r="P250" s="31" t="n"/>
      <c r="Q250" s="46" t="n"/>
      <c r="R250" s="46" t="n"/>
      <c r="S250" s="46" t="n"/>
      <c r="T250" s="42" t="n"/>
      <c r="V250" s="45" t="n"/>
      <c r="W250" s="45" t="n"/>
      <c r="X250" s="45" t="n"/>
      <c r="Y250" s="31" t="n"/>
      <c r="Z250" s="46" t="n"/>
      <c r="AA250" s="46" t="n"/>
      <c r="AB250" s="46" t="n"/>
      <c r="AC250" s="42" t="n"/>
      <c r="AE250" s="32" t="n"/>
      <c r="AF250" s="32" t="n"/>
      <c r="AG250" s="33" t="n"/>
      <c r="AH250" s="43" t="n"/>
      <c r="AI250" s="43" t="n"/>
      <c r="AJ250" s="44" t="n"/>
      <c r="AL250" s="35" t="n"/>
      <c r="AM250" s="35" t="n"/>
      <c r="AN250" s="35" t="n"/>
    </row>
    <row r="251">
      <c r="A251" s="27" t="n"/>
      <c r="B251" s="28" t="n"/>
      <c r="C251" s="28" t="n"/>
      <c r="D251" s="28" t="n"/>
      <c r="E251" s="45" t="n"/>
      <c r="F251" s="46" t="n"/>
      <c r="G251" s="46" t="n"/>
      <c r="H251" s="46" t="n"/>
      <c r="I251" s="46" t="n"/>
      <c r="J251" s="40" t="n"/>
      <c r="L251" s="45" t="n"/>
      <c r="M251" s="45" t="n"/>
      <c r="N251" s="45" t="n"/>
      <c r="O251" s="45" t="n"/>
      <c r="P251" s="31" t="n"/>
      <c r="Q251" s="46" t="n"/>
      <c r="R251" s="46" t="n"/>
      <c r="S251" s="46" t="n"/>
      <c r="T251" s="42" t="n"/>
      <c r="V251" s="45" t="n"/>
      <c r="W251" s="45" t="n"/>
      <c r="X251" s="45" t="n"/>
      <c r="Y251" s="31" t="n"/>
      <c r="Z251" s="46" t="n"/>
      <c r="AA251" s="46" t="n"/>
      <c r="AB251" s="46" t="n"/>
      <c r="AC251" s="42" t="n"/>
      <c r="AE251" s="32" t="n"/>
      <c r="AF251" s="32" t="n"/>
      <c r="AG251" s="33" t="n"/>
      <c r="AH251" s="43" t="n"/>
      <c r="AI251" s="43" t="n"/>
      <c r="AJ251" s="44" t="n"/>
      <c r="AL251" s="35" t="n"/>
      <c r="AM251" s="35" t="n"/>
      <c r="AN251" s="35" t="n"/>
    </row>
    <row r="252">
      <c r="A252" s="27" t="n"/>
      <c r="B252" s="28" t="n"/>
      <c r="C252" s="28" t="n"/>
      <c r="D252" s="28" t="n"/>
      <c r="E252" s="45" t="n"/>
      <c r="F252" s="46" t="n"/>
      <c r="G252" s="46" t="n"/>
      <c r="H252" s="46" t="n"/>
      <c r="I252" s="46" t="n"/>
      <c r="J252" s="40" t="n"/>
      <c r="L252" s="45" t="n"/>
      <c r="M252" s="45" t="n"/>
      <c r="N252" s="45" t="n"/>
      <c r="O252" s="45" t="n"/>
      <c r="P252" s="31" t="n"/>
      <c r="Q252" s="46" t="n"/>
      <c r="R252" s="46" t="n"/>
      <c r="S252" s="46" t="n"/>
      <c r="T252" s="42" t="n"/>
      <c r="V252" s="45" t="n"/>
      <c r="W252" s="45" t="n"/>
      <c r="X252" s="45" t="n"/>
      <c r="Y252" s="31" t="n"/>
      <c r="Z252" s="46" t="n"/>
      <c r="AA252" s="46" t="n"/>
      <c r="AB252" s="46" t="n"/>
      <c r="AC252" s="42" t="n"/>
      <c r="AE252" s="32" t="n"/>
      <c r="AF252" s="32" t="n"/>
      <c r="AG252" s="33" t="n"/>
      <c r="AH252" s="43" t="n"/>
      <c r="AI252" s="43" t="n"/>
      <c r="AJ252" s="44" t="n"/>
      <c r="AL252" s="35" t="n"/>
      <c r="AM252" s="35" t="n"/>
      <c r="AN252" s="35" t="n"/>
    </row>
    <row r="253">
      <c r="A253" s="27" t="n"/>
      <c r="B253" s="28" t="n"/>
      <c r="C253" s="28" t="n"/>
      <c r="D253" s="28" t="n"/>
      <c r="E253" s="45" t="n"/>
      <c r="F253" s="46" t="n"/>
      <c r="G253" s="46" t="n"/>
      <c r="H253" s="46" t="n"/>
      <c r="I253" s="46" t="n"/>
      <c r="J253" s="40" t="n"/>
      <c r="L253" s="45" t="n"/>
      <c r="M253" s="45" t="n"/>
      <c r="N253" s="45" t="n"/>
      <c r="O253" s="45" t="n"/>
      <c r="P253" s="31" t="n"/>
      <c r="Q253" s="46" t="n"/>
      <c r="R253" s="46" t="n"/>
      <c r="S253" s="46" t="n"/>
      <c r="T253" s="42" t="n"/>
      <c r="V253" s="45" t="n"/>
      <c r="W253" s="45" t="n"/>
      <c r="X253" s="45" t="n"/>
      <c r="Y253" s="31" t="n"/>
      <c r="Z253" s="46" t="n"/>
      <c r="AA253" s="46" t="n"/>
      <c r="AB253" s="46" t="n"/>
      <c r="AC253" s="42" t="n"/>
      <c r="AE253" s="32" t="n"/>
      <c r="AF253" s="32" t="n"/>
      <c r="AG253" s="33" t="n"/>
      <c r="AH253" s="43" t="n"/>
      <c r="AI253" s="43" t="n"/>
      <c r="AJ253" s="44" t="n"/>
      <c r="AL253" s="35" t="n"/>
      <c r="AM253" s="35" t="n"/>
      <c r="AN253" s="35" t="n"/>
    </row>
    <row r="254">
      <c r="A254" s="27" t="n"/>
      <c r="B254" s="28" t="n"/>
      <c r="C254" s="28" t="n"/>
      <c r="D254" s="28" t="n"/>
      <c r="E254" s="45" t="n"/>
      <c r="F254" s="46" t="n"/>
      <c r="G254" s="46" t="n"/>
      <c r="H254" s="46" t="n"/>
      <c r="I254" s="46" t="n"/>
      <c r="J254" s="40" t="n"/>
      <c r="L254" s="45" t="n"/>
      <c r="M254" s="45" t="n"/>
      <c r="N254" s="45" t="n"/>
      <c r="O254" s="45" t="n"/>
      <c r="P254" s="31" t="n"/>
      <c r="Q254" s="46" t="n"/>
      <c r="R254" s="46" t="n"/>
      <c r="S254" s="46" t="n"/>
      <c r="T254" s="42" t="n"/>
      <c r="V254" s="45" t="n"/>
      <c r="W254" s="45" t="n"/>
      <c r="X254" s="45" t="n"/>
      <c r="Y254" s="31" t="n"/>
      <c r="Z254" s="46" t="n"/>
      <c r="AA254" s="46" t="n"/>
      <c r="AB254" s="46" t="n"/>
      <c r="AC254" s="42" t="n"/>
      <c r="AE254" s="32" t="n"/>
      <c r="AF254" s="32" t="n"/>
      <c r="AG254" s="33" t="n"/>
      <c r="AH254" s="43" t="n"/>
      <c r="AI254" s="43" t="n"/>
      <c r="AJ254" s="44" t="n"/>
      <c r="AL254" s="35" t="n"/>
      <c r="AM254" s="35" t="n"/>
      <c r="AN254" s="35" t="n"/>
    </row>
    <row r="255">
      <c r="A255" s="27" t="n"/>
      <c r="B255" s="28" t="n"/>
      <c r="C255" s="28" t="n"/>
      <c r="D255" s="28" t="n"/>
      <c r="E255" s="45" t="n"/>
      <c r="F255" s="46" t="n"/>
      <c r="G255" s="46" t="n"/>
      <c r="H255" s="46" t="n"/>
      <c r="I255" s="46" t="n"/>
      <c r="J255" s="40" t="n"/>
      <c r="L255" s="45" t="n"/>
      <c r="M255" s="45" t="n"/>
      <c r="N255" s="45" t="n"/>
      <c r="O255" s="45" t="n"/>
      <c r="P255" s="31" t="n"/>
      <c r="Q255" s="46" t="n"/>
      <c r="R255" s="46" t="n"/>
      <c r="S255" s="46" t="n"/>
      <c r="T255" s="42" t="n"/>
      <c r="V255" s="45" t="n"/>
      <c r="W255" s="45" t="n"/>
      <c r="X255" s="45" t="n"/>
      <c r="Y255" s="31" t="n"/>
      <c r="Z255" s="46" t="n"/>
      <c r="AA255" s="46" t="n"/>
      <c r="AB255" s="46" t="n"/>
      <c r="AC255" s="42" t="n"/>
      <c r="AE255" s="32" t="n"/>
      <c r="AF255" s="32" t="n"/>
      <c r="AG255" s="33" t="n"/>
      <c r="AH255" s="43" t="n"/>
      <c r="AI255" s="43" t="n"/>
      <c r="AJ255" s="44" t="n"/>
      <c r="AL255" s="35" t="n"/>
      <c r="AM255" s="35" t="n"/>
      <c r="AN255" s="35" t="n"/>
    </row>
    <row r="256">
      <c r="A256" s="27" t="n"/>
      <c r="B256" s="28" t="n"/>
      <c r="C256" s="28" t="n"/>
      <c r="D256" s="28" t="n"/>
      <c r="E256" s="45" t="n"/>
      <c r="F256" s="46" t="n"/>
      <c r="G256" s="46" t="n"/>
      <c r="H256" s="46" t="n"/>
      <c r="I256" s="46" t="n"/>
      <c r="J256" s="40" t="n"/>
      <c r="L256" s="45" t="n"/>
      <c r="M256" s="45" t="n"/>
      <c r="N256" s="45" t="n"/>
      <c r="O256" s="45" t="n"/>
      <c r="P256" s="31" t="n"/>
      <c r="Q256" s="46" t="n"/>
      <c r="R256" s="46" t="n"/>
      <c r="S256" s="46" t="n"/>
      <c r="T256" s="42" t="n"/>
      <c r="V256" s="45" t="n"/>
      <c r="W256" s="45" t="n"/>
      <c r="X256" s="45" t="n"/>
      <c r="Y256" s="31" t="n"/>
      <c r="Z256" s="46" t="n"/>
      <c r="AA256" s="46" t="n"/>
      <c r="AB256" s="46" t="n"/>
      <c r="AC256" s="42" t="n"/>
      <c r="AE256" s="32" t="n"/>
      <c r="AF256" s="32" t="n"/>
      <c r="AG256" s="33" t="n"/>
      <c r="AH256" s="43" t="n"/>
      <c r="AI256" s="43" t="n"/>
      <c r="AJ256" s="44" t="n"/>
      <c r="AL256" s="35" t="n"/>
      <c r="AM256" s="35" t="n"/>
      <c r="AN256" s="35" t="n"/>
    </row>
    <row r="257">
      <c r="A257" s="27" t="n"/>
      <c r="B257" s="28" t="n"/>
      <c r="C257" s="28" t="n"/>
      <c r="D257" s="28" t="n"/>
      <c r="E257" s="45" t="n"/>
      <c r="F257" s="46" t="n"/>
      <c r="G257" s="46" t="n"/>
      <c r="H257" s="46" t="n"/>
      <c r="I257" s="46" t="n"/>
      <c r="J257" s="40" t="n"/>
      <c r="L257" s="45" t="n"/>
      <c r="M257" s="45" t="n"/>
      <c r="N257" s="45" t="n"/>
      <c r="O257" s="45" t="n"/>
      <c r="P257" s="31" t="n"/>
      <c r="Q257" s="46" t="n"/>
      <c r="R257" s="46" t="n"/>
      <c r="S257" s="46" t="n"/>
      <c r="T257" s="42" t="n"/>
      <c r="V257" s="45" t="n"/>
      <c r="W257" s="45" t="n"/>
      <c r="X257" s="45" t="n"/>
      <c r="Y257" s="31" t="n"/>
      <c r="Z257" s="46" t="n"/>
      <c r="AA257" s="46" t="n"/>
      <c r="AB257" s="46" t="n"/>
      <c r="AC257" s="42" t="n"/>
      <c r="AE257" s="32" t="n"/>
      <c r="AF257" s="32" t="n"/>
      <c r="AG257" s="33" t="n"/>
      <c r="AH257" s="43" t="n"/>
      <c r="AI257" s="43" t="n"/>
      <c r="AJ257" s="44" t="n"/>
      <c r="AL257" s="35" t="n"/>
      <c r="AM257" s="35" t="n"/>
      <c r="AN257" s="35" t="n"/>
    </row>
    <row r="258">
      <c r="A258" s="27" t="n"/>
      <c r="B258" s="28" t="n"/>
      <c r="C258" s="28" t="n"/>
      <c r="D258" s="28" t="n"/>
      <c r="E258" s="45" t="n"/>
      <c r="F258" s="46" t="n"/>
      <c r="G258" s="46" t="n"/>
      <c r="H258" s="46" t="n"/>
      <c r="I258" s="46" t="n"/>
      <c r="J258" s="40" t="n"/>
      <c r="L258" s="45" t="n"/>
      <c r="M258" s="45" t="n"/>
      <c r="N258" s="45" t="n"/>
      <c r="O258" s="45" t="n"/>
      <c r="P258" s="31" t="n"/>
      <c r="Q258" s="46" t="n"/>
      <c r="R258" s="46" t="n"/>
      <c r="S258" s="46" t="n"/>
      <c r="T258" s="42" t="n"/>
      <c r="V258" s="45" t="n"/>
      <c r="W258" s="45" t="n"/>
      <c r="X258" s="45" t="n"/>
      <c r="Y258" s="31" t="n"/>
      <c r="Z258" s="46" t="n"/>
      <c r="AA258" s="46" t="n"/>
      <c r="AB258" s="46" t="n"/>
      <c r="AC258" s="42" t="n"/>
      <c r="AE258" s="32" t="n"/>
      <c r="AF258" s="32" t="n"/>
      <c r="AG258" s="33" t="n"/>
      <c r="AH258" s="43" t="n"/>
      <c r="AI258" s="43" t="n"/>
      <c r="AJ258" s="44" t="n"/>
      <c r="AL258" s="35" t="n"/>
      <c r="AM258" s="35" t="n"/>
      <c r="AN258" s="35" t="n"/>
    </row>
    <row r="259">
      <c r="A259" s="27" t="n"/>
      <c r="B259" s="28" t="n"/>
      <c r="C259" s="28" t="n"/>
      <c r="D259" s="28" t="n"/>
      <c r="E259" s="45" t="n"/>
      <c r="F259" s="46" t="n"/>
      <c r="G259" s="46" t="n"/>
      <c r="H259" s="46" t="n"/>
      <c r="I259" s="46" t="n"/>
      <c r="J259" s="40" t="n"/>
      <c r="L259" s="45" t="n"/>
      <c r="M259" s="45" t="n"/>
      <c r="N259" s="45" t="n"/>
      <c r="O259" s="45" t="n"/>
      <c r="P259" s="31" t="n"/>
      <c r="Q259" s="46" t="n"/>
      <c r="R259" s="46" t="n"/>
      <c r="S259" s="46" t="n"/>
      <c r="T259" s="42" t="n"/>
      <c r="V259" s="45" t="n"/>
      <c r="W259" s="45" t="n"/>
      <c r="X259" s="45" t="n"/>
      <c r="Y259" s="31" t="n"/>
      <c r="Z259" s="46" t="n"/>
      <c r="AA259" s="46" t="n"/>
      <c r="AB259" s="46" t="n"/>
      <c r="AC259" s="42" t="n"/>
      <c r="AE259" s="32" t="n"/>
      <c r="AF259" s="32" t="n"/>
      <c r="AG259" s="33" t="n"/>
      <c r="AH259" s="43" t="n"/>
      <c r="AI259" s="43" t="n"/>
      <c r="AJ259" s="44" t="n"/>
      <c r="AL259" s="35" t="n"/>
      <c r="AM259" s="35" t="n"/>
      <c r="AN259" s="35" t="n"/>
    </row>
    <row r="260">
      <c r="A260" s="27" t="n"/>
      <c r="B260" s="28" t="n"/>
      <c r="C260" s="28" t="n"/>
      <c r="D260" s="28" t="n"/>
      <c r="E260" s="45" t="n"/>
      <c r="F260" s="46" t="n"/>
      <c r="G260" s="46" t="n"/>
      <c r="H260" s="46" t="n"/>
      <c r="I260" s="46" t="n"/>
      <c r="J260" s="40" t="n"/>
      <c r="L260" s="45" t="n"/>
      <c r="M260" s="45" t="n"/>
      <c r="N260" s="45" t="n"/>
      <c r="O260" s="45" t="n"/>
      <c r="P260" s="31" t="n"/>
      <c r="Q260" s="46" t="n"/>
      <c r="R260" s="46" t="n"/>
      <c r="S260" s="46" t="n"/>
      <c r="T260" s="42" t="n"/>
      <c r="V260" s="45" t="n"/>
      <c r="W260" s="45" t="n"/>
      <c r="X260" s="45" t="n"/>
      <c r="Y260" s="31" t="n"/>
      <c r="Z260" s="46" t="n"/>
      <c r="AA260" s="46" t="n"/>
      <c r="AB260" s="46" t="n"/>
      <c r="AC260" s="42" t="n"/>
      <c r="AE260" s="32" t="n"/>
      <c r="AF260" s="32" t="n"/>
      <c r="AG260" s="33" t="n"/>
      <c r="AH260" s="43" t="n"/>
      <c r="AI260" s="43" t="n"/>
      <c r="AJ260" s="44" t="n"/>
      <c r="AL260" s="35" t="n"/>
      <c r="AM260" s="35" t="n"/>
      <c r="AN260" s="35" t="n"/>
    </row>
    <row r="261">
      <c r="A261" s="27" t="n"/>
      <c r="B261" s="28" t="n"/>
      <c r="C261" s="28" t="n"/>
      <c r="D261" s="28" t="n"/>
      <c r="E261" s="45" t="n"/>
      <c r="F261" s="46" t="n"/>
      <c r="G261" s="46" t="n"/>
      <c r="H261" s="46" t="n"/>
      <c r="I261" s="46" t="n"/>
      <c r="J261" s="40" t="n"/>
      <c r="L261" s="45" t="n"/>
      <c r="M261" s="45" t="n"/>
      <c r="N261" s="45" t="n"/>
      <c r="O261" s="45" t="n"/>
      <c r="P261" s="31" t="n"/>
      <c r="Q261" s="46" t="n"/>
      <c r="R261" s="46" t="n"/>
      <c r="S261" s="46" t="n"/>
      <c r="T261" s="42" t="n"/>
      <c r="V261" s="45" t="n"/>
      <c r="W261" s="45" t="n"/>
      <c r="X261" s="45" t="n"/>
      <c r="Y261" s="31" t="n"/>
      <c r="Z261" s="46" t="n"/>
      <c r="AA261" s="46" t="n"/>
      <c r="AB261" s="46" t="n"/>
      <c r="AC261" s="42" t="n"/>
      <c r="AE261" s="32" t="n"/>
      <c r="AF261" s="32" t="n"/>
      <c r="AG261" s="33" t="n"/>
      <c r="AH261" s="43" t="n"/>
      <c r="AI261" s="43" t="n"/>
      <c r="AJ261" s="44" t="n"/>
      <c r="AL261" s="35" t="n"/>
      <c r="AM261" s="35" t="n"/>
      <c r="AN261" s="35" t="n"/>
    </row>
    <row r="262">
      <c r="A262" s="27" t="n"/>
      <c r="B262" s="28" t="n"/>
      <c r="C262" s="28" t="n"/>
      <c r="D262" s="28" t="n"/>
      <c r="E262" s="45" t="n"/>
      <c r="F262" s="46" t="n"/>
      <c r="G262" s="46" t="n"/>
      <c r="H262" s="46" t="n"/>
      <c r="I262" s="46" t="n"/>
      <c r="J262" s="40" t="n"/>
      <c r="L262" s="45" t="n"/>
      <c r="M262" s="45" t="n"/>
      <c r="N262" s="45" t="n"/>
      <c r="O262" s="45" t="n"/>
      <c r="P262" s="31" t="n"/>
      <c r="Q262" s="46" t="n"/>
      <c r="R262" s="46" t="n"/>
      <c r="S262" s="46" t="n"/>
      <c r="T262" s="42" t="n"/>
      <c r="V262" s="45" t="n"/>
      <c r="W262" s="45" t="n"/>
      <c r="X262" s="45" t="n"/>
      <c r="Y262" s="31" t="n"/>
      <c r="Z262" s="46" t="n"/>
      <c r="AA262" s="46" t="n"/>
      <c r="AB262" s="46" t="n"/>
      <c r="AC262" s="42" t="n"/>
      <c r="AE262" s="32" t="n"/>
      <c r="AF262" s="32" t="n"/>
      <c r="AG262" s="33" t="n"/>
      <c r="AH262" s="43" t="n"/>
      <c r="AI262" s="43" t="n"/>
      <c r="AJ262" s="44" t="n"/>
      <c r="AL262" s="35" t="n"/>
      <c r="AM262" s="35" t="n"/>
      <c r="AN262" s="35" t="n"/>
    </row>
    <row r="263">
      <c r="A263" s="27" t="n"/>
      <c r="B263" s="28" t="n"/>
      <c r="C263" s="28" t="n"/>
      <c r="D263" s="28" t="n"/>
      <c r="E263" s="45" t="n"/>
      <c r="F263" s="46" t="n"/>
      <c r="G263" s="46" t="n"/>
      <c r="H263" s="46" t="n"/>
      <c r="I263" s="46" t="n"/>
      <c r="J263" s="40" t="n"/>
      <c r="L263" s="45" t="n"/>
      <c r="M263" s="45" t="n"/>
      <c r="N263" s="45" t="n"/>
      <c r="O263" s="45" t="n"/>
      <c r="P263" s="31" t="n"/>
      <c r="Q263" s="46" t="n"/>
      <c r="R263" s="46" t="n"/>
      <c r="S263" s="46" t="n"/>
      <c r="T263" s="42" t="n"/>
      <c r="V263" s="45" t="n"/>
      <c r="W263" s="45" t="n"/>
      <c r="X263" s="45" t="n"/>
      <c r="Y263" s="31" t="n"/>
      <c r="Z263" s="46" t="n"/>
      <c r="AA263" s="46" t="n"/>
      <c r="AB263" s="46" t="n"/>
      <c r="AC263" s="42" t="n"/>
      <c r="AE263" s="32" t="n"/>
      <c r="AF263" s="32" t="n"/>
      <c r="AG263" s="33" t="n"/>
      <c r="AH263" s="43" t="n"/>
      <c r="AI263" s="43" t="n"/>
      <c r="AJ263" s="44" t="n"/>
      <c r="AL263" s="35" t="n"/>
      <c r="AM263" s="35" t="n"/>
      <c r="AN263" s="35" t="n"/>
    </row>
    <row r="264">
      <c r="A264" s="27" t="n"/>
      <c r="B264" s="28" t="n"/>
      <c r="C264" s="28" t="n"/>
      <c r="D264" s="28" t="n"/>
      <c r="E264" s="45" t="n"/>
      <c r="F264" s="46" t="n"/>
      <c r="G264" s="46" t="n"/>
      <c r="H264" s="46" t="n"/>
      <c r="I264" s="46" t="n"/>
      <c r="J264" s="40" t="n"/>
      <c r="L264" s="45" t="n"/>
      <c r="M264" s="45" t="n"/>
      <c r="N264" s="45" t="n"/>
      <c r="O264" s="45" t="n"/>
      <c r="P264" s="31" t="n"/>
      <c r="Q264" s="46" t="n"/>
      <c r="R264" s="46" t="n"/>
      <c r="S264" s="46" t="n"/>
      <c r="T264" s="42" t="n"/>
      <c r="V264" s="45" t="n"/>
      <c r="W264" s="45" t="n"/>
      <c r="X264" s="45" t="n"/>
      <c r="Y264" s="31" t="n"/>
      <c r="Z264" s="46" t="n"/>
      <c r="AA264" s="46" t="n"/>
      <c r="AB264" s="46" t="n"/>
      <c r="AC264" s="42" t="n"/>
      <c r="AE264" s="32" t="n"/>
      <c r="AF264" s="32" t="n"/>
      <c r="AG264" s="33" t="n"/>
      <c r="AH264" s="43" t="n"/>
      <c r="AI264" s="43" t="n"/>
      <c r="AJ264" s="44" t="n"/>
      <c r="AL264" s="35" t="n"/>
      <c r="AM264" s="35" t="n"/>
      <c r="AN264" s="35" t="n"/>
    </row>
    <row r="265">
      <c r="A265" s="27" t="n"/>
      <c r="B265" s="28" t="n"/>
      <c r="C265" s="28" t="n"/>
      <c r="D265" s="28" t="n"/>
      <c r="E265" s="45" t="n"/>
      <c r="F265" s="46" t="n"/>
      <c r="G265" s="46" t="n"/>
      <c r="H265" s="46" t="n"/>
      <c r="I265" s="46" t="n"/>
      <c r="J265" s="40" t="n"/>
      <c r="L265" s="45" t="n"/>
      <c r="M265" s="45" t="n"/>
      <c r="N265" s="45" t="n"/>
      <c r="O265" s="45" t="n"/>
      <c r="P265" s="31" t="n"/>
      <c r="Q265" s="46" t="n"/>
      <c r="R265" s="46" t="n"/>
      <c r="S265" s="46" t="n"/>
      <c r="T265" s="42" t="n"/>
      <c r="V265" s="45" t="n"/>
      <c r="W265" s="45" t="n"/>
      <c r="X265" s="45" t="n"/>
      <c r="Y265" s="31" t="n"/>
      <c r="Z265" s="46" t="n"/>
      <c r="AA265" s="46" t="n"/>
      <c r="AB265" s="46" t="n"/>
      <c r="AC265" s="42" t="n"/>
      <c r="AE265" s="32" t="n"/>
      <c r="AF265" s="32" t="n"/>
      <c r="AG265" s="33" t="n"/>
      <c r="AH265" s="43" t="n"/>
      <c r="AI265" s="43" t="n"/>
      <c r="AJ265" s="44" t="n"/>
      <c r="AL265" s="35" t="n"/>
      <c r="AM265" s="35" t="n"/>
      <c r="AN265" s="35" t="n"/>
    </row>
    <row r="266">
      <c r="A266" s="27" t="n"/>
      <c r="B266" s="28" t="n"/>
      <c r="C266" s="28" t="n"/>
      <c r="D266" s="28" t="n"/>
      <c r="E266" s="45" t="n"/>
      <c r="F266" s="46" t="n"/>
      <c r="G266" s="46" t="n"/>
      <c r="H266" s="46" t="n"/>
      <c r="I266" s="46" t="n"/>
      <c r="J266" s="40" t="n"/>
      <c r="L266" s="45" t="n"/>
      <c r="M266" s="45" t="n"/>
      <c r="N266" s="45" t="n"/>
      <c r="O266" s="45" t="n"/>
      <c r="P266" s="31" t="n"/>
      <c r="Q266" s="46" t="n"/>
      <c r="R266" s="46" t="n"/>
      <c r="S266" s="46" t="n"/>
      <c r="T266" s="42" t="n"/>
      <c r="V266" s="45" t="n"/>
      <c r="W266" s="45" t="n"/>
      <c r="X266" s="45" t="n"/>
      <c r="Y266" s="31" t="n"/>
      <c r="Z266" s="46" t="n"/>
      <c r="AA266" s="46" t="n"/>
      <c r="AB266" s="46" t="n"/>
      <c r="AC266" s="42" t="n"/>
      <c r="AE266" s="32" t="n"/>
      <c r="AF266" s="32" t="n"/>
      <c r="AG266" s="33" t="n"/>
      <c r="AH266" s="43" t="n"/>
      <c r="AI266" s="43" t="n"/>
      <c r="AJ266" s="44" t="n"/>
      <c r="AL266" s="35" t="n"/>
      <c r="AM266" s="35" t="n"/>
      <c r="AN266" s="35" t="n"/>
    </row>
    <row r="267">
      <c r="A267" s="27" t="n"/>
      <c r="B267" s="28" t="n"/>
      <c r="C267" s="28" t="n"/>
      <c r="D267" s="28" t="n"/>
      <c r="E267" s="45" t="n"/>
      <c r="F267" s="46" t="n"/>
      <c r="G267" s="46" t="n"/>
      <c r="H267" s="46" t="n"/>
      <c r="I267" s="46" t="n"/>
      <c r="J267" s="40" t="n"/>
      <c r="L267" s="45" t="n"/>
      <c r="M267" s="45" t="n"/>
      <c r="N267" s="45" t="n"/>
      <c r="O267" s="45" t="n"/>
      <c r="P267" s="31" t="n"/>
      <c r="Q267" s="46" t="n"/>
      <c r="R267" s="46" t="n"/>
      <c r="S267" s="46" t="n"/>
      <c r="T267" s="42" t="n"/>
      <c r="V267" s="45" t="n"/>
      <c r="W267" s="45" t="n"/>
      <c r="X267" s="45" t="n"/>
      <c r="Y267" s="31" t="n"/>
      <c r="Z267" s="46" t="n"/>
      <c r="AA267" s="46" t="n"/>
      <c r="AB267" s="46" t="n"/>
      <c r="AC267" s="42" t="n"/>
      <c r="AE267" s="32" t="n"/>
      <c r="AF267" s="32" t="n"/>
      <c r="AG267" s="33" t="n"/>
      <c r="AH267" s="43" t="n"/>
      <c r="AI267" s="43" t="n"/>
      <c r="AJ267" s="44" t="n"/>
      <c r="AL267" s="35" t="n"/>
      <c r="AM267" s="35" t="n"/>
      <c r="AN267" s="35" t="n"/>
    </row>
    <row r="268">
      <c r="A268" s="27" t="n"/>
      <c r="B268" s="28" t="n"/>
      <c r="C268" s="28" t="n"/>
      <c r="D268" s="28" t="n"/>
      <c r="E268" s="45" t="n"/>
      <c r="F268" s="46" t="n"/>
      <c r="G268" s="46" t="n"/>
      <c r="H268" s="46" t="n"/>
      <c r="I268" s="46" t="n"/>
      <c r="J268" s="40" t="n"/>
      <c r="L268" s="45" t="n"/>
      <c r="M268" s="45" t="n"/>
      <c r="N268" s="45" t="n"/>
      <c r="O268" s="45" t="n"/>
      <c r="P268" s="31" t="n"/>
      <c r="Q268" s="46" t="n"/>
      <c r="R268" s="46" t="n"/>
      <c r="S268" s="46" t="n"/>
      <c r="T268" s="42" t="n"/>
      <c r="V268" s="45" t="n"/>
      <c r="W268" s="45" t="n"/>
      <c r="X268" s="45" t="n"/>
      <c r="Y268" s="31" t="n"/>
      <c r="Z268" s="46" t="n"/>
      <c r="AA268" s="46" t="n"/>
      <c r="AB268" s="46" t="n"/>
      <c r="AC268" s="42" t="n"/>
      <c r="AE268" s="32" t="n"/>
      <c r="AF268" s="32" t="n"/>
      <c r="AG268" s="33" t="n"/>
      <c r="AH268" s="43" t="n"/>
      <c r="AI268" s="43" t="n"/>
      <c r="AJ268" s="44" t="n"/>
      <c r="AL268" s="35" t="n"/>
      <c r="AM268" s="35" t="n"/>
      <c r="AN268" s="35" t="n"/>
    </row>
    <row r="269">
      <c r="A269" s="27" t="n"/>
      <c r="B269" s="28" t="n"/>
      <c r="C269" s="28" t="n"/>
      <c r="D269" s="28" t="n"/>
      <c r="E269" s="45" t="n"/>
      <c r="F269" s="46" t="n"/>
      <c r="G269" s="46" t="n"/>
      <c r="H269" s="46" t="n"/>
      <c r="I269" s="46" t="n"/>
      <c r="J269" s="40" t="n"/>
      <c r="L269" s="45" t="n"/>
      <c r="M269" s="45" t="n"/>
      <c r="N269" s="45" t="n"/>
      <c r="O269" s="45" t="n"/>
      <c r="P269" s="31" t="n"/>
      <c r="Q269" s="46" t="n"/>
      <c r="R269" s="46" t="n"/>
      <c r="S269" s="46" t="n"/>
      <c r="T269" s="42" t="n"/>
      <c r="V269" s="45" t="n"/>
      <c r="W269" s="45" t="n"/>
      <c r="X269" s="45" t="n"/>
      <c r="Y269" s="31" t="n"/>
      <c r="Z269" s="46" t="n"/>
      <c r="AA269" s="46" t="n"/>
      <c r="AB269" s="46" t="n"/>
      <c r="AC269" s="42" t="n"/>
      <c r="AE269" s="32" t="n"/>
      <c r="AF269" s="32" t="n"/>
      <c r="AG269" s="33" t="n"/>
      <c r="AH269" s="43" t="n"/>
      <c r="AI269" s="43" t="n"/>
      <c r="AJ269" s="44" t="n"/>
      <c r="AL269" s="35" t="n"/>
      <c r="AM269" s="35" t="n"/>
      <c r="AN269" s="35" t="n"/>
    </row>
    <row r="270">
      <c r="A270" s="27" t="n"/>
      <c r="B270" s="28" t="n"/>
      <c r="C270" s="28" t="n"/>
      <c r="D270" s="28" t="n"/>
      <c r="E270" s="45" t="n"/>
      <c r="F270" s="46" t="n"/>
      <c r="G270" s="46" t="n"/>
      <c r="H270" s="46" t="n"/>
      <c r="I270" s="46" t="n"/>
      <c r="J270" s="40" t="n"/>
      <c r="L270" s="45" t="n"/>
      <c r="M270" s="45" t="n"/>
      <c r="N270" s="45" t="n"/>
      <c r="O270" s="45" t="n"/>
      <c r="P270" s="31" t="n"/>
      <c r="Q270" s="46" t="n"/>
      <c r="R270" s="46" t="n"/>
      <c r="S270" s="46" t="n"/>
      <c r="T270" s="42" t="n"/>
      <c r="V270" s="45" t="n"/>
      <c r="W270" s="45" t="n"/>
      <c r="X270" s="45" t="n"/>
      <c r="Y270" s="31" t="n"/>
      <c r="Z270" s="46" t="n"/>
      <c r="AA270" s="46" t="n"/>
      <c r="AB270" s="46" t="n"/>
      <c r="AC270" s="42" t="n"/>
      <c r="AE270" s="32" t="n"/>
      <c r="AF270" s="32" t="n"/>
      <c r="AG270" s="33" t="n"/>
      <c r="AH270" s="43" t="n"/>
      <c r="AI270" s="43" t="n"/>
      <c r="AJ270" s="44" t="n"/>
      <c r="AL270" s="35" t="n"/>
      <c r="AM270" s="35" t="n"/>
      <c r="AN270" s="35" t="n"/>
    </row>
    <row r="271">
      <c r="A271" s="27" t="n"/>
      <c r="B271" s="28" t="n"/>
      <c r="C271" s="28" t="n"/>
      <c r="D271" s="28" t="n"/>
      <c r="E271" s="45" t="n"/>
      <c r="F271" s="46" t="n"/>
      <c r="G271" s="46" t="n"/>
      <c r="H271" s="46" t="n"/>
      <c r="I271" s="46" t="n"/>
      <c r="J271" s="40" t="n"/>
      <c r="L271" s="45" t="n"/>
      <c r="M271" s="45" t="n"/>
      <c r="N271" s="45" t="n"/>
      <c r="O271" s="45" t="n"/>
      <c r="P271" s="31" t="n"/>
      <c r="Q271" s="46" t="n"/>
      <c r="R271" s="46" t="n"/>
      <c r="S271" s="46" t="n"/>
      <c r="T271" s="42" t="n"/>
      <c r="V271" s="45" t="n"/>
      <c r="W271" s="45" t="n"/>
      <c r="X271" s="45" t="n"/>
      <c r="Y271" s="31" t="n"/>
      <c r="Z271" s="46" t="n"/>
      <c r="AA271" s="46" t="n"/>
      <c r="AB271" s="46" t="n"/>
      <c r="AC271" s="42" t="n"/>
      <c r="AE271" s="32" t="n"/>
      <c r="AF271" s="32" t="n"/>
      <c r="AG271" s="33" t="n"/>
      <c r="AH271" s="43" t="n"/>
      <c r="AI271" s="43" t="n"/>
      <c r="AJ271" s="44" t="n"/>
      <c r="AL271" s="35" t="n"/>
      <c r="AM271" s="35" t="n"/>
      <c r="AN271" s="35" t="n"/>
    </row>
    <row r="272">
      <c r="A272" s="27" t="n"/>
      <c r="B272" s="28" t="n"/>
      <c r="C272" s="28" t="n"/>
      <c r="D272" s="28" t="n"/>
      <c r="E272" s="45" t="n"/>
      <c r="F272" s="46" t="n"/>
      <c r="G272" s="46" t="n"/>
      <c r="H272" s="46" t="n"/>
      <c r="I272" s="46" t="n"/>
      <c r="J272" s="40" t="n"/>
      <c r="L272" s="45" t="n"/>
      <c r="M272" s="45" t="n"/>
      <c r="N272" s="45" t="n"/>
      <c r="O272" s="45" t="n"/>
      <c r="P272" s="31" t="n"/>
      <c r="Q272" s="46" t="n"/>
      <c r="R272" s="46" t="n"/>
      <c r="S272" s="46" t="n"/>
      <c r="T272" s="42" t="n"/>
      <c r="V272" s="45" t="n"/>
      <c r="W272" s="45" t="n"/>
      <c r="X272" s="45" t="n"/>
      <c r="Y272" s="31" t="n"/>
      <c r="Z272" s="46" t="n"/>
      <c r="AA272" s="46" t="n"/>
      <c r="AB272" s="46" t="n"/>
      <c r="AC272" s="42" t="n"/>
      <c r="AE272" s="32" t="n"/>
      <c r="AF272" s="32" t="n"/>
      <c r="AG272" s="33" t="n"/>
      <c r="AH272" s="43" t="n"/>
      <c r="AI272" s="43" t="n"/>
      <c r="AJ272" s="44" t="n"/>
      <c r="AL272" s="35" t="n"/>
      <c r="AM272" s="35" t="n"/>
      <c r="AN272" s="35" t="n"/>
    </row>
    <row r="273">
      <c r="A273" s="27" t="n"/>
      <c r="B273" s="28" t="n"/>
      <c r="C273" s="28" t="n"/>
      <c r="D273" s="28" t="n"/>
      <c r="E273" s="45" t="n"/>
      <c r="F273" s="46" t="n"/>
      <c r="G273" s="46" t="n"/>
      <c r="H273" s="46" t="n"/>
      <c r="I273" s="46" t="n"/>
      <c r="J273" s="40" t="n"/>
      <c r="L273" s="45" t="n"/>
      <c r="M273" s="45" t="n"/>
      <c r="N273" s="45" t="n"/>
      <c r="O273" s="45" t="n"/>
      <c r="P273" s="31" t="n"/>
      <c r="Q273" s="46" t="n"/>
      <c r="R273" s="46" t="n"/>
      <c r="S273" s="46" t="n"/>
      <c r="T273" s="42" t="n"/>
      <c r="V273" s="45" t="n"/>
      <c r="W273" s="45" t="n"/>
      <c r="X273" s="45" t="n"/>
      <c r="Y273" s="31" t="n"/>
      <c r="Z273" s="46" t="n"/>
      <c r="AA273" s="46" t="n"/>
      <c r="AB273" s="46" t="n"/>
      <c r="AC273" s="42" t="n"/>
      <c r="AE273" s="32" t="n"/>
      <c r="AF273" s="32" t="n"/>
      <c r="AG273" s="33" t="n"/>
      <c r="AH273" s="43" t="n"/>
      <c r="AI273" s="43" t="n"/>
      <c r="AJ273" s="44" t="n"/>
      <c r="AL273" s="35" t="n"/>
      <c r="AM273" s="35" t="n"/>
      <c r="AN273" s="35" t="n"/>
    </row>
    <row r="274">
      <c r="A274" s="27" t="n"/>
      <c r="B274" s="28" t="n"/>
      <c r="C274" s="28" t="n"/>
      <c r="D274" s="28" t="n"/>
      <c r="E274" s="45" t="n"/>
      <c r="F274" s="46" t="n"/>
      <c r="G274" s="46" t="n"/>
      <c r="H274" s="46" t="n"/>
      <c r="I274" s="46" t="n"/>
      <c r="J274" s="40" t="n"/>
      <c r="L274" s="45" t="n"/>
      <c r="M274" s="45" t="n"/>
      <c r="N274" s="45" t="n"/>
      <c r="O274" s="45" t="n"/>
      <c r="P274" s="31" t="n"/>
      <c r="Q274" s="46" t="n"/>
      <c r="R274" s="46" t="n"/>
      <c r="S274" s="46" t="n"/>
      <c r="T274" s="42" t="n"/>
      <c r="V274" s="45" t="n"/>
      <c r="W274" s="45" t="n"/>
      <c r="X274" s="45" t="n"/>
      <c r="Y274" s="31" t="n"/>
      <c r="Z274" s="46" t="n"/>
      <c r="AA274" s="46" t="n"/>
      <c r="AB274" s="46" t="n"/>
      <c r="AC274" s="42" t="n"/>
      <c r="AE274" s="32" t="n"/>
      <c r="AF274" s="32" t="n"/>
      <c r="AG274" s="33" t="n"/>
      <c r="AH274" s="43" t="n"/>
      <c r="AI274" s="43" t="n"/>
      <c r="AJ274" s="44" t="n"/>
      <c r="AL274" s="35" t="n"/>
      <c r="AM274" s="35" t="n"/>
      <c r="AN274" s="35" t="n"/>
    </row>
    <row r="275">
      <c r="A275" s="27" t="n"/>
      <c r="B275" s="28" t="n"/>
      <c r="C275" s="28" t="n"/>
      <c r="D275" s="28" t="n"/>
      <c r="E275" s="45" t="n"/>
      <c r="F275" s="46" t="n"/>
      <c r="G275" s="46" t="n"/>
      <c r="H275" s="46" t="n"/>
      <c r="I275" s="46" t="n"/>
      <c r="J275" s="40" t="n"/>
      <c r="L275" s="45" t="n"/>
      <c r="M275" s="45" t="n"/>
      <c r="N275" s="45" t="n"/>
      <c r="O275" s="45" t="n"/>
      <c r="P275" s="31" t="n"/>
      <c r="Q275" s="46" t="n"/>
      <c r="R275" s="46" t="n"/>
      <c r="S275" s="46" t="n"/>
      <c r="T275" s="42" t="n"/>
      <c r="V275" s="45" t="n"/>
      <c r="W275" s="45" t="n"/>
      <c r="X275" s="45" t="n"/>
      <c r="Y275" s="31" t="n"/>
      <c r="Z275" s="46" t="n"/>
      <c r="AA275" s="46" t="n"/>
      <c r="AB275" s="46" t="n"/>
      <c r="AC275" s="42" t="n"/>
      <c r="AE275" s="32" t="n"/>
      <c r="AF275" s="32" t="n"/>
      <c r="AG275" s="33" t="n"/>
      <c r="AH275" s="43" t="n"/>
      <c r="AI275" s="43" t="n"/>
      <c r="AJ275" s="44" t="n"/>
      <c r="AL275" s="35" t="n"/>
      <c r="AM275" s="35" t="n"/>
      <c r="AN275" s="35" t="n"/>
    </row>
    <row r="276">
      <c r="A276" s="27" t="n"/>
      <c r="B276" s="28" t="n"/>
      <c r="C276" s="28" t="n"/>
      <c r="D276" s="28" t="n"/>
      <c r="E276" s="45" t="n"/>
      <c r="F276" s="46" t="n"/>
      <c r="G276" s="46" t="n"/>
      <c r="H276" s="46" t="n"/>
      <c r="I276" s="46" t="n"/>
      <c r="J276" s="40" t="n"/>
      <c r="L276" s="45" t="n"/>
      <c r="M276" s="45" t="n"/>
      <c r="N276" s="45" t="n"/>
      <c r="O276" s="45" t="n"/>
      <c r="P276" s="31" t="n"/>
      <c r="Q276" s="46" t="n"/>
      <c r="R276" s="46" t="n"/>
      <c r="S276" s="46" t="n"/>
      <c r="T276" s="42" t="n"/>
      <c r="V276" s="45" t="n"/>
      <c r="W276" s="45" t="n"/>
      <c r="X276" s="45" t="n"/>
      <c r="Y276" s="31" t="n"/>
      <c r="Z276" s="46" t="n"/>
      <c r="AA276" s="46" t="n"/>
      <c r="AB276" s="46" t="n"/>
      <c r="AC276" s="42" t="n"/>
      <c r="AE276" s="32" t="n"/>
      <c r="AF276" s="32" t="n"/>
      <c r="AG276" s="33" t="n"/>
      <c r="AH276" s="43" t="n"/>
      <c r="AI276" s="43" t="n"/>
      <c r="AJ276" s="44" t="n"/>
      <c r="AL276" s="35" t="n"/>
      <c r="AM276" s="35" t="n"/>
      <c r="AN276" s="35" t="n"/>
    </row>
    <row r="277">
      <c r="A277" s="27" t="n"/>
      <c r="B277" s="28" t="n"/>
      <c r="C277" s="28" t="n"/>
      <c r="D277" s="28" t="n"/>
      <c r="E277" s="45" t="n"/>
      <c r="F277" s="46" t="n"/>
      <c r="G277" s="46" t="n"/>
      <c r="H277" s="46" t="n"/>
      <c r="I277" s="46" t="n"/>
      <c r="J277" s="40" t="n"/>
      <c r="L277" s="45" t="n"/>
      <c r="M277" s="45" t="n"/>
      <c r="N277" s="45" t="n"/>
      <c r="O277" s="45" t="n"/>
      <c r="P277" s="31" t="n"/>
      <c r="Q277" s="46" t="n"/>
      <c r="R277" s="46" t="n"/>
      <c r="S277" s="46" t="n"/>
      <c r="T277" s="42" t="n"/>
      <c r="V277" s="45" t="n"/>
      <c r="W277" s="45" t="n"/>
      <c r="X277" s="45" t="n"/>
      <c r="Y277" s="31" t="n"/>
      <c r="Z277" s="46" t="n"/>
      <c r="AA277" s="46" t="n"/>
      <c r="AB277" s="46" t="n"/>
      <c r="AC277" s="42" t="n"/>
      <c r="AE277" s="32" t="n"/>
      <c r="AF277" s="32" t="n"/>
      <c r="AG277" s="33" t="n"/>
      <c r="AH277" s="43" t="n"/>
      <c r="AI277" s="43" t="n"/>
      <c r="AJ277" s="44" t="n"/>
      <c r="AL277" s="35" t="n"/>
      <c r="AM277" s="35" t="n"/>
      <c r="AN277" s="35" t="n"/>
    </row>
    <row r="278">
      <c r="A278" s="27" t="n"/>
      <c r="B278" s="28" t="n"/>
      <c r="C278" s="28" t="n"/>
      <c r="D278" s="28" t="n"/>
      <c r="E278" s="45" t="n"/>
      <c r="F278" s="46" t="n"/>
      <c r="G278" s="46" t="n"/>
      <c r="H278" s="46" t="n"/>
      <c r="I278" s="46" t="n"/>
      <c r="J278" s="40" t="n"/>
      <c r="L278" s="45" t="n"/>
      <c r="M278" s="45" t="n"/>
      <c r="N278" s="45" t="n"/>
      <c r="O278" s="45" t="n"/>
      <c r="P278" s="31" t="n"/>
      <c r="Q278" s="46" t="n"/>
      <c r="R278" s="46" t="n"/>
      <c r="S278" s="46" t="n"/>
      <c r="T278" s="42" t="n"/>
      <c r="V278" s="45" t="n"/>
      <c r="W278" s="45" t="n"/>
      <c r="X278" s="45" t="n"/>
      <c r="Y278" s="31" t="n"/>
      <c r="Z278" s="46" t="n"/>
      <c r="AA278" s="46" t="n"/>
      <c r="AB278" s="46" t="n"/>
      <c r="AC278" s="42" t="n"/>
      <c r="AE278" s="32" t="n"/>
      <c r="AF278" s="32" t="n"/>
      <c r="AG278" s="33" t="n"/>
      <c r="AH278" s="43" t="n"/>
      <c r="AI278" s="43" t="n"/>
      <c r="AJ278" s="44" t="n"/>
      <c r="AL278" s="35" t="n"/>
      <c r="AM278" s="35" t="n"/>
      <c r="AN278" s="35" t="n"/>
    </row>
    <row r="279">
      <c r="A279" s="27" t="n"/>
      <c r="B279" s="28" t="n"/>
      <c r="C279" s="28" t="n"/>
      <c r="D279" s="28" t="n"/>
      <c r="E279" s="45" t="n"/>
      <c r="F279" s="46" t="n"/>
      <c r="G279" s="46" t="n"/>
      <c r="H279" s="46" t="n"/>
      <c r="I279" s="46" t="n"/>
      <c r="J279" s="40" t="n"/>
      <c r="L279" s="45" t="n"/>
      <c r="M279" s="45" t="n"/>
      <c r="N279" s="45" t="n"/>
      <c r="O279" s="45" t="n"/>
      <c r="P279" s="31" t="n"/>
      <c r="Q279" s="46" t="n"/>
      <c r="R279" s="46" t="n"/>
      <c r="S279" s="46" t="n"/>
      <c r="T279" s="42" t="n"/>
      <c r="V279" s="45" t="n"/>
      <c r="W279" s="45" t="n"/>
      <c r="X279" s="45" t="n"/>
      <c r="Y279" s="31" t="n"/>
      <c r="Z279" s="46" t="n"/>
      <c r="AA279" s="46" t="n"/>
      <c r="AB279" s="46" t="n"/>
      <c r="AC279" s="42" t="n"/>
      <c r="AE279" s="32" t="n"/>
      <c r="AF279" s="32" t="n"/>
      <c r="AG279" s="33" t="n"/>
      <c r="AH279" s="43" t="n"/>
      <c r="AI279" s="43" t="n"/>
      <c r="AJ279" s="44" t="n"/>
      <c r="AL279" s="35" t="n"/>
      <c r="AM279" s="35" t="n"/>
      <c r="AN279" s="35" t="n"/>
    </row>
    <row r="280">
      <c r="A280" s="27" t="n"/>
      <c r="B280" s="28" t="n"/>
      <c r="C280" s="28" t="n"/>
      <c r="D280" s="28" t="n"/>
      <c r="E280" s="45" t="n"/>
      <c r="F280" s="46" t="n"/>
      <c r="G280" s="46" t="n"/>
      <c r="H280" s="46" t="n"/>
      <c r="I280" s="46" t="n"/>
      <c r="J280" s="40" t="n"/>
      <c r="L280" s="45" t="n"/>
      <c r="M280" s="45" t="n"/>
      <c r="N280" s="45" t="n"/>
      <c r="O280" s="45" t="n"/>
      <c r="P280" s="31" t="n"/>
      <c r="Q280" s="46" t="n"/>
      <c r="R280" s="46" t="n"/>
      <c r="S280" s="46" t="n"/>
      <c r="T280" s="42" t="n"/>
      <c r="V280" s="45" t="n"/>
      <c r="W280" s="45" t="n"/>
      <c r="X280" s="45" t="n"/>
      <c r="Y280" s="31" t="n"/>
      <c r="Z280" s="46" t="n"/>
      <c r="AA280" s="46" t="n"/>
      <c r="AB280" s="46" t="n"/>
      <c r="AC280" s="42" t="n"/>
      <c r="AE280" s="32" t="n"/>
      <c r="AF280" s="32" t="n"/>
      <c r="AG280" s="33" t="n"/>
      <c r="AH280" s="43" t="n"/>
      <c r="AI280" s="43" t="n"/>
      <c r="AJ280" s="44" t="n"/>
      <c r="AL280" s="35" t="n"/>
      <c r="AM280" s="35" t="n"/>
      <c r="AN280" s="35" t="n"/>
    </row>
    <row r="281">
      <c r="A281" s="27" t="n"/>
      <c r="B281" s="28" t="n"/>
      <c r="C281" s="28" t="n"/>
      <c r="D281" s="28" t="n"/>
      <c r="E281" s="45" t="n"/>
      <c r="F281" s="46" t="n"/>
      <c r="G281" s="46" t="n"/>
      <c r="H281" s="46" t="n"/>
      <c r="I281" s="46" t="n"/>
      <c r="J281" s="40" t="n"/>
      <c r="L281" s="45" t="n"/>
      <c r="M281" s="45" t="n"/>
      <c r="N281" s="45" t="n"/>
      <c r="O281" s="45" t="n"/>
      <c r="P281" s="31" t="n"/>
      <c r="Q281" s="46" t="n"/>
      <c r="R281" s="46" t="n"/>
      <c r="S281" s="46" t="n"/>
      <c r="T281" s="42" t="n"/>
      <c r="V281" s="45" t="n"/>
      <c r="W281" s="45" t="n"/>
      <c r="X281" s="45" t="n"/>
      <c r="Y281" s="31" t="n"/>
      <c r="Z281" s="46" t="n"/>
      <c r="AA281" s="46" t="n"/>
      <c r="AB281" s="46" t="n"/>
      <c r="AC281" s="42" t="n"/>
      <c r="AE281" s="32" t="n"/>
      <c r="AF281" s="32" t="n"/>
      <c r="AG281" s="33" t="n"/>
      <c r="AH281" s="43" t="n"/>
      <c r="AI281" s="43" t="n"/>
      <c r="AJ281" s="44" t="n"/>
      <c r="AL281" s="35" t="n"/>
      <c r="AM281" s="35" t="n"/>
      <c r="AN281" s="35" t="n"/>
    </row>
    <row r="282">
      <c r="A282" s="27" t="n"/>
      <c r="B282" s="28" t="n"/>
      <c r="C282" s="28" t="n"/>
      <c r="D282" s="28" t="n"/>
      <c r="E282" s="45" t="n"/>
      <c r="F282" s="46" t="n"/>
      <c r="G282" s="46" t="n"/>
      <c r="H282" s="46" t="n"/>
      <c r="I282" s="46" t="n"/>
      <c r="J282" s="40" t="n"/>
      <c r="L282" s="45" t="n"/>
      <c r="M282" s="45" t="n"/>
      <c r="N282" s="45" t="n"/>
      <c r="O282" s="45" t="n"/>
      <c r="P282" s="31" t="n"/>
      <c r="Q282" s="46" t="n"/>
      <c r="R282" s="46" t="n"/>
      <c r="S282" s="46" t="n"/>
      <c r="T282" s="42" t="n"/>
      <c r="V282" s="45" t="n"/>
      <c r="W282" s="45" t="n"/>
      <c r="X282" s="45" t="n"/>
      <c r="Y282" s="31" t="n"/>
      <c r="Z282" s="46" t="n"/>
      <c r="AA282" s="46" t="n"/>
      <c r="AB282" s="46" t="n"/>
      <c r="AC282" s="42" t="n"/>
      <c r="AE282" s="32" t="n"/>
      <c r="AF282" s="32" t="n"/>
      <c r="AG282" s="33" t="n"/>
      <c r="AH282" s="43" t="n"/>
      <c r="AI282" s="43" t="n"/>
      <c r="AJ282" s="44" t="n"/>
      <c r="AL282" s="35" t="n"/>
      <c r="AM282" s="35" t="n"/>
      <c r="AN282" s="35" t="n"/>
    </row>
    <row r="283">
      <c r="A283" s="27" t="n"/>
      <c r="B283" s="28" t="n"/>
      <c r="C283" s="28" t="n"/>
      <c r="D283" s="28" t="n"/>
      <c r="E283" s="45" t="n"/>
      <c r="F283" s="46" t="n"/>
      <c r="G283" s="46" t="n"/>
      <c r="H283" s="46" t="n"/>
      <c r="I283" s="46" t="n"/>
      <c r="J283" s="40" t="n"/>
      <c r="L283" s="45" t="n"/>
      <c r="M283" s="45" t="n"/>
      <c r="N283" s="45" t="n"/>
      <c r="O283" s="45" t="n"/>
      <c r="P283" s="31" t="n"/>
      <c r="Q283" s="46" t="n"/>
      <c r="R283" s="46" t="n"/>
      <c r="S283" s="46" t="n"/>
      <c r="T283" s="42" t="n"/>
      <c r="V283" s="45" t="n"/>
      <c r="W283" s="45" t="n"/>
      <c r="X283" s="45" t="n"/>
      <c r="Y283" s="31" t="n"/>
      <c r="Z283" s="46" t="n"/>
      <c r="AA283" s="46" t="n"/>
      <c r="AB283" s="46" t="n"/>
      <c r="AC283" s="42" t="n"/>
      <c r="AE283" s="32" t="n"/>
      <c r="AF283" s="32" t="n"/>
      <c r="AG283" s="33" t="n"/>
      <c r="AH283" s="43" t="n"/>
      <c r="AI283" s="43" t="n"/>
      <c r="AJ283" s="44" t="n"/>
      <c r="AL283" s="35" t="n"/>
      <c r="AM283" s="35" t="n"/>
      <c r="AN283" s="35" t="n"/>
    </row>
    <row r="284">
      <c r="A284" s="27" t="n"/>
      <c r="B284" s="28" t="n"/>
      <c r="C284" s="28" t="n"/>
      <c r="D284" s="28" t="n"/>
      <c r="E284" s="45" t="n"/>
      <c r="F284" s="46" t="n"/>
      <c r="G284" s="46" t="n"/>
      <c r="H284" s="46" t="n"/>
      <c r="I284" s="46" t="n"/>
      <c r="J284" s="40" t="n"/>
      <c r="L284" s="45" t="n"/>
      <c r="M284" s="45" t="n"/>
      <c r="N284" s="45" t="n"/>
      <c r="O284" s="45" t="n"/>
      <c r="P284" s="31" t="n"/>
      <c r="Q284" s="46" t="n"/>
      <c r="R284" s="46" t="n"/>
      <c r="S284" s="46" t="n"/>
      <c r="T284" s="42" t="n"/>
      <c r="V284" s="45" t="n"/>
      <c r="W284" s="45" t="n"/>
      <c r="X284" s="45" t="n"/>
      <c r="Y284" s="31" t="n"/>
      <c r="Z284" s="46" t="n"/>
      <c r="AA284" s="46" t="n"/>
      <c r="AB284" s="46" t="n"/>
      <c r="AC284" s="42" t="n"/>
      <c r="AE284" s="32" t="n"/>
      <c r="AF284" s="32" t="n"/>
      <c r="AG284" s="33" t="n"/>
      <c r="AH284" s="43" t="n"/>
      <c r="AI284" s="43" t="n"/>
      <c r="AJ284" s="44" t="n"/>
      <c r="AL284" s="35" t="n"/>
      <c r="AM284" s="35" t="n"/>
      <c r="AN284" s="35" t="n"/>
    </row>
    <row r="285">
      <c r="A285" s="27" t="n"/>
      <c r="B285" s="28" t="n"/>
      <c r="C285" s="28" t="n"/>
      <c r="D285" s="28" t="n"/>
      <c r="E285" s="45" t="n"/>
      <c r="F285" s="46" t="n"/>
      <c r="G285" s="46" t="n"/>
      <c r="H285" s="46" t="n"/>
      <c r="I285" s="46" t="n"/>
      <c r="J285" s="40" t="n"/>
      <c r="L285" s="45" t="n"/>
      <c r="M285" s="45" t="n"/>
      <c r="N285" s="45" t="n"/>
      <c r="O285" s="45" t="n"/>
      <c r="P285" s="31" t="n"/>
      <c r="Q285" s="46" t="n"/>
      <c r="R285" s="46" t="n"/>
      <c r="S285" s="46" t="n"/>
      <c r="T285" s="42" t="n"/>
      <c r="V285" s="45" t="n"/>
      <c r="W285" s="45" t="n"/>
      <c r="X285" s="45" t="n"/>
      <c r="Y285" s="31" t="n"/>
      <c r="Z285" s="46" t="n"/>
      <c r="AA285" s="46" t="n"/>
      <c r="AB285" s="46" t="n"/>
      <c r="AC285" s="42" t="n"/>
      <c r="AE285" s="32" t="n"/>
      <c r="AF285" s="32" t="n"/>
      <c r="AG285" s="33" t="n"/>
      <c r="AH285" s="43" t="n"/>
      <c r="AI285" s="43" t="n"/>
      <c r="AJ285" s="44" t="n"/>
      <c r="AL285" s="35" t="n"/>
      <c r="AM285" s="35" t="n"/>
      <c r="AN285" s="35" t="n"/>
    </row>
    <row r="286">
      <c r="A286" s="27" t="n"/>
      <c r="B286" s="28" t="n"/>
      <c r="C286" s="28" t="n"/>
      <c r="D286" s="28" t="n"/>
      <c r="E286" s="45" t="n"/>
      <c r="F286" s="46" t="n"/>
      <c r="G286" s="46" t="n"/>
      <c r="H286" s="46" t="n"/>
      <c r="I286" s="46" t="n"/>
      <c r="J286" s="40" t="n"/>
      <c r="L286" s="45" t="n"/>
      <c r="M286" s="45" t="n"/>
      <c r="N286" s="45" t="n"/>
      <c r="O286" s="45" t="n"/>
      <c r="P286" s="31" t="n"/>
      <c r="Q286" s="46" t="n"/>
      <c r="R286" s="46" t="n"/>
      <c r="S286" s="46" t="n"/>
      <c r="T286" s="42" t="n"/>
      <c r="V286" s="45" t="n"/>
      <c r="W286" s="45" t="n"/>
      <c r="X286" s="45" t="n"/>
      <c r="Y286" s="31" t="n"/>
      <c r="Z286" s="46" t="n"/>
      <c r="AA286" s="46" t="n"/>
      <c r="AB286" s="46" t="n"/>
      <c r="AC286" s="42" t="n"/>
      <c r="AE286" s="32" t="n"/>
      <c r="AF286" s="32" t="n"/>
      <c r="AG286" s="33" t="n"/>
      <c r="AH286" s="43" t="n"/>
      <c r="AI286" s="43" t="n"/>
      <c r="AJ286" s="44" t="n"/>
      <c r="AL286" s="35" t="n"/>
      <c r="AM286" s="35" t="n"/>
      <c r="AN286" s="35" t="n"/>
    </row>
    <row r="287">
      <c r="A287" s="27" t="n"/>
      <c r="B287" s="28" t="n"/>
      <c r="C287" s="28" t="n"/>
      <c r="D287" s="28" t="n"/>
      <c r="E287" s="45" t="n"/>
      <c r="F287" s="46" t="n"/>
      <c r="G287" s="46" t="n"/>
      <c r="H287" s="46" t="n"/>
      <c r="I287" s="46" t="n"/>
      <c r="J287" s="40" t="n"/>
      <c r="L287" s="45" t="n"/>
      <c r="M287" s="45" t="n"/>
      <c r="N287" s="45" t="n"/>
      <c r="O287" s="45" t="n"/>
      <c r="P287" s="31" t="n"/>
      <c r="Q287" s="46" t="n"/>
      <c r="R287" s="46" t="n"/>
      <c r="S287" s="46" t="n"/>
      <c r="T287" s="42" t="n"/>
      <c r="V287" s="45" t="n"/>
      <c r="W287" s="45" t="n"/>
      <c r="X287" s="45" t="n"/>
      <c r="Y287" s="31" t="n"/>
      <c r="Z287" s="46" t="n"/>
      <c r="AA287" s="46" t="n"/>
      <c r="AB287" s="46" t="n"/>
      <c r="AC287" s="42" t="n"/>
      <c r="AE287" s="32" t="n"/>
      <c r="AF287" s="32" t="n"/>
      <c r="AG287" s="33" t="n"/>
      <c r="AH287" s="43" t="n"/>
      <c r="AI287" s="43" t="n"/>
      <c r="AJ287" s="44" t="n"/>
      <c r="AL287" s="35" t="n"/>
      <c r="AM287" s="35" t="n"/>
      <c r="AN287" s="35" t="n"/>
    </row>
    <row r="288">
      <c r="A288" s="27" t="n"/>
      <c r="B288" s="28" t="n"/>
      <c r="C288" s="28" t="n"/>
      <c r="D288" s="28" t="n"/>
      <c r="E288" s="45" t="n"/>
      <c r="F288" s="46" t="n"/>
      <c r="G288" s="46" t="n"/>
      <c r="H288" s="46" t="n"/>
      <c r="I288" s="46" t="n"/>
      <c r="J288" s="40" t="n"/>
      <c r="L288" s="45" t="n"/>
      <c r="M288" s="45" t="n"/>
      <c r="N288" s="45" t="n"/>
      <c r="O288" s="45" t="n"/>
      <c r="P288" s="31" t="n"/>
      <c r="Q288" s="46" t="n"/>
      <c r="R288" s="46" t="n"/>
      <c r="S288" s="46" t="n"/>
      <c r="T288" s="42" t="n"/>
      <c r="V288" s="45" t="n"/>
      <c r="W288" s="45" t="n"/>
      <c r="X288" s="45" t="n"/>
      <c r="Y288" s="31" t="n"/>
      <c r="Z288" s="46" t="n"/>
      <c r="AA288" s="46" t="n"/>
      <c r="AB288" s="46" t="n"/>
      <c r="AC288" s="42" t="n"/>
      <c r="AE288" s="32" t="n"/>
      <c r="AF288" s="32" t="n"/>
      <c r="AG288" s="33" t="n"/>
      <c r="AH288" s="43" t="n"/>
      <c r="AI288" s="43" t="n"/>
      <c r="AJ288" s="44" t="n"/>
      <c r="AL288" s="35" t="n"/>
      <c r="AM288" s="35" t="n"/>
      <c r="AN288" s="35" t="n"/>
    </row>
    <row r="289">
      <c r="A289" s="27" t="n"/>
      <c r="B289" s="28" t="n"/>
      <c r="C289" s="28" t="n"/>
      <c r="D289" s="28" t="n"/>
      <c r="E289" s="45" t="n"/>
      <c r="F289" s="46" t="n"/>
      <c r="G289" s="46" t="n"/>
      <c r="H289" s="46" t="n"/>
      <c r="I289" s="46" t="n"/>
      <c r="J289" s="40" t="n"/>
      <c r="L289" s="45" t="n"/>
      <c r="M289" s="45" t="n"/>
      <c r="N289" s="45" t="n"/>
      <c r="O289" s="45" t="n"/>
      <c r="P289" s="31" t="n"/>
      <c r="Q289" s="46" t="n"/>
      <c r="R289" s="46" t="n"/>
      <c r="S289" s="46" t="n"/>
      <c r="T289" s="42" t="n"/>
      <c r="V289" s="45" t="n"/>
      <c r="W289" s="45" t="n"/>
      <c r="X289" s="45" t="n"/>
      <c r="Y289" s="31" t="n"/>
      <c r="Z289" s="46" t="n"/>
      <c r="AA289" s="46" t="n"/>
      <c r="AB289" s="46" t="n"/>
      <c r="AC289" s="42" t="n"/>
      <c r="AE289" s="32" t="n"/>
      <c r="AF289" s="32" t="n"/>
      <c r="AG289" s="33" t="n"/>
      <c r="AH289" s="43" t="n"/>
      <c r="AI289" s="43" t="n"/>
      <c r="AJ289" s="44" t="n"/>
      <c r="AL289" s="35" t="n"/>
      <c r="AM289" s="35" t="n"/>
      <c r="AN289" s="35" t="n"/>
    </row>
    <row r="290">
      <c r="A290" s="27" t="n"/>
      <c r="B290" s="28" t="n"/>
      <c r="C290" s="28" t="n"/>
      <c r="D290" s="28" t="n"/>
      <c r="E290" s="45" t="n"/>
      <c r="F290" s="46" t="n"/>
      <c r="G290" s="46" t="n"/>
      <c r="H290" s="46" t="n"/>
      <c r="I290" s="46" t="n"/>
      <c r="J290" s="40" t="n"/>
      <c r="L290" s="45" t="n"/>
      <c r="M290" s="45" t="n"/>
      <c r="N290" s="45" t="n"/>
      <c r="O290" s="45" t="n"/>
      <c r="P290" s="31" t="n"/>
      <c r="Q290" s="46" t="n"/>
      <c r="R290" s="46" t="n"/>
      <c r="S290" s="46" t="n"/>
      <c r="T290" s="42" t="n"/>
      <c r="V290" s="45" t="n"/>
      <c r="W290" s="45" t="n"/>
      <c r="X290" s="45" t="n"/>
      <c r="Y290" s="31" t="n"/>
      <c r="Z290" s="46" t="n"/>
      <c r="AA290" s="46" t="n"/>
      <c r="AB290" s="46" t="n"/>
      <c r="AC290" s="42" t="n"/>
      <c r="AE290" s="32" t="n"/>
      <c r="AF290" s="32" t="n"/>
      <c r="AG290" s="33" t="n"/>
      <c r="AH290" s="43" t="n"/>
      <c r="AI290" s="43" t="n"/>
      <c r="AJ290" s="44" t="n"/>
      <c r="AL290" s="35" t="n"/>
      <c r="AM290" s="35" t="n"/>
      <c r="AN290" s="35" t="n"/>
    </row>
    <row r="291">
      <c r="A291" s="27" t="n"/>
      <c r="B291" s="28" t="n"/>
      <c r="C291" s="28" t="n"/>
      <c r="D291" s="28" t="n"/>
      <c r="E291" s="45" t="n"/>
      <c r="F291" s="46" t="n"/>
      <c r="G291" s="46" t="n"/>
      <c r="H291" s="46" t="n"/>
      <c r="I291" s="46" t="n"/>
      <c r="J291" s="40" t="n"/>
      <c r="L291" s="45" t="n"/>
      <c r="M291" s="45" t="n"/>
      <c r="N291" s="45" t="n"/>
      <c r="O291" s="45" t="n"/>
      <c r="P291" s="31" t="n"/>
      <c r="Q291" s="46" t="n"/>
      <c r="R291" s="46" t="n"/>
      <c r="S291" s="46" t="n"/>
      <c r="T291" s="42" t="n"/>
      <c r="V291" s="45" t="n"/>
      <c r="W291" s="45" t="n"/>
      <c r="X291" s="45" t="n"/>
      <c r="Y291" s="31" t="n"/>
      <c r="Z291" s="46" t="n"/>
      <c r="AA291" s="46" t="n"/>
      <c r="AB291" s="46" t="n"/>
      <c r="AC291" s="42" t="n"/>
      <c r="AE291" s="32" t="n"/>
      <c r="AF291" s="32" t="n"/>
      <c r="AG291" s="33" t="n"/>
      <c r="AH291" s="43" t="n"/>
      <c r="AI291" s="43" t="n"/>
      <c r="AJ291" s="44" t="n"/>
      <c r="AL291" s="35" t="n"/>
      <c r="AM291" s="35" t="n"/>
      <c r="AN291" s="35" t="n"/>
    </row>
    <row r="292">
      <c r="A292" s="27" t="n"/>
      <c r="B292" s="28" t="n"/>
      <c r="C292" s="28" t="n"/>
      <c r="D292" s="28" t="n"/>
      <c r="E292" s="45" t="n"/>
      <c r="F292" s="46" t="n"/>
      <c r="G292" s="46" t="n"/>
      <c r="H292" s="46" t="n"/>
      <c r="I292" s="46" t="n"/>
      <c r="J292" s="40" t="n"/>
      <c r="L292" s="45" t="n"/>
      <c r="M292" s="45" t="n"/>
      <c r="N292" s="45" t="n"/>
      <c r="O292" s="45" t="n"/>
      <c r="P292" s="31" t="n"/>
      <c r="Q292" s="46" t="n"/>
      <c r="R292" s="46" t="n"/>
      <c r="S292" s="46" t="n"/>
      <c r="T292" s="42" t="n"/>
      <c r="V292" s="45" t="n"/>
      <c r="W292" s="45" t="n"/>
      <c r="X292" s="45" t="n"/>
      <c r="Y292" s="31" t="n"/>
      <c r="Z292" s="46" t="n"/>
      <c r="AA292" s="46" t="n"/>
      <c r="AB292" s="46" t="n"/>
      <c r="AC292" s="42" t="n"/>
      <c r="AE292" s="32" t="n"/>
      <c r="AF292" s="32" t="n"/>
      <c r="AG292" s="33" t="n"/>
      <c r="AH292" s="43" t="n"/>
      <c r="AI292" s="43" t="n"/>
      <c r="AJ292" s="44" t="n"/>
      <c r="AL292" s="35" t="n"/>
      <c r="AM292" s="35" t="n"/>
      <c r="AN292" s="35" t="n"/>
    </row>
    <row r="293">
      <c r="A293" s="27" t="n"/>
      <c r="B293" s="28" t="n"/>
      <c r="C293" s="28" t="n"/>
      <c r="D293" s="28" t="n"/>
      <c r="E293" s="45" t="n"/>
      <c r="F293" s="46" t="n"/>
      <c r="G293" s="46" t="n"/>
      <c r="H293" s="46" t="n"/>
      <c r="I293" s="46" t="n"/>
      <c r="J293" s="40" t="n"/>
      <c r="L293" s="45" t="n"/>
      <c r="M293" s="45" t="n"/>
      <c r="N293" s="45" t="n"/>
      <c r="O293" s="45" t="n"/>
      <c r="P293" s="31" t="n"/>
      <c r="Q293" s="46" t="n"/>
      <c r="R293" s="46" t="n"/>
      <c r="S293" s="46" t="n"/>
      <c r="T293" s="42" t="n"/>
      <c r="V293" s="45" t="n"/>
      <c r="W293" s="45" t="n"/>
      <c r="X293" s="45" t="n"/>
      <c r="Y293" s="31" t="n"/>
      <c r="Z293" s="46" t="n"/>
      <c r="AA293" s="46" t="n"/>
      <c r="AB293" s="46" t="n"/>
      <c r="AC293" s="42" t="n"/>
      <c r="AE293" s="32" t="n"/>
      <c r="AF293" s="32" t="n"/>
      <c r="AG293" s="33" t="n"/>
      <c r="AH293" s="43" t="n"/>
      <c r="AI293" s="43" t="n"/>
      <c r="AJ293" s="44" t="n"/>
      <c r="AL293" s="35" t="n"/>
      <c r="AM293" s="35" t="n"/>
      <c r="AN293" s="35" t="n"/>
    </row>
    <row r="294">
      <c r="A294" s="27" t="n"/>
      <c r="B294" s="28" t="n"/>
      <c r="C294" s="28" t="n"/>
      <c r="D294" s="28" t="n"/>
      <c r="E294" s="45" t="n"/>
      <c r="F294" s="46" t="n"/>
      <c r="G294" s="46" t="n"/>
      <c r="H294" s="46" t="n"/>
      <c r="I294" s="46" t="n"/>
      <c r="J294" s="40" t="n"/>
      <c r="L294" s="45" t="n"/>
      <c r="M294" s="45" t="n"/>
      <c r="N294" s="45" t="n"/>
      <c r="O294" s="45" t="n"/>
      <c r="P294" s="31" t="n"/>
      <c r="Q294" s="46" t="n"/>
      <c r="R294" s="46" t="n"/>
      <c r="S294" s="46" t="n"/>
      <c r="T294" s="42" t="n"/>
      <c r="V294" s="45" t="n"/>
      <c r="W294" s="45" t="n"/>
      <c r="X294" s="45" t="n"/>
      <c r="Y294" s="31" t="n"/>
      <c r="Z294" s="46" t="n"/>
      <c r="AA294" s="46" t="n"/>
      <c r="AB294" s="46" t="n"/>
      <c r="AC294" s="42" t="n"/>
      <c r="AE294" s="32" t="n"/>
      <c r="AF294" s="32" t="n"/>
      <c r="AG294" s="33" t="n"/>
      <c r="AH294" s="43" t="n"/>
      <c r="AI294" s="43" t="n"/>
      <c r="AJ294" s="44" t="n"/>
      <c r="AL294" s="35" t="n"/>
      <c r="AM294" s="35" t="n"/>
      <c r="AN294" s="35" t="n"/>
    </row>
    <row r="295">
      <c r="A295" s="27" t="n"/>
      <c r="B295" s="28" t="n"/>
      <c r="C295" s="28" t="n"/>
      <c r="D295" s="28" t="n"/>
      <c r="E295" s="45" t="n"/>
      <c r="F295" s="46" t="n"/>
      <c r="G295" s="46" t="n"/>
      <c r="H295" s="46" t="n"/>
      <c r="I295" s="46" t="n"/>
      <c r="J295" s="40" t="n"/>
      <c r="L295" s="45" t="n"/>
      <c r="M295" s="45" t="n"/>
      <c r="N295" s="45" t="n"/>
      <c r="O295" s="45" t="n"/>
      <c r="P295" s="31" t="n"/>
      <c r="Q295" s="46" t="n"/>
      <c r="R295" s="46" t="n"/>
      <c r="S295" s="46" t="n"/>
      <c r="T295" s="42" t="n"/>
      <c r="V295" s="45" t="n"/>
      <c r="W295" s="45" t="n"/>
      <c r="X295" s="45" t="n"/>
      <c r="Y295" s="31" t="n"/>
      <c r="Z295" s="46" t="n"/>
      <c r="AA295" s="46" t="n"/>
      <c r="AB295" s="46" t="n"/>
      <c r="AC295" s="42" t="n"/>
      <c r="AE295" s="32" t="n"/>
      <c r="AF295" s="32" t="n"/>
      <c r="AG295" s="33" t="n"/>
      <c r="AH295" s="43" t="n"/>
      <c r="AI295" s="43" t="n"/>
      <c r="AJ295" s="44" t="n"/>
      <c r="AL295" s="35" t="n"/>
      <c r="AM295" s="35" t="n"/>
      <c r="AN295" s="35" t="n"/>
    </row>
    <row r="296">
      <c r="A296" s="27" t="n"/>
      <c r="B296" s="28" t="n"/>
      <c r="C296" s="28" t="n"/>
      <c r="D296" s="28" t="n"/>
      <c r="E296" s="45" t="n"/>
      <c r="F296" s="46" t="n"/>
      <c r="G296" s="46" t="n"/>
      <c r="H296" s="46" t="n"/>
      <c r="I296" s="46" t="n"/>
      <c r="J296" s="40" t="n"/>
      <c r="L296" s="45" t="n"/>
      <c r="M296" s="45" t="n"/>
      <c r="N296" s="45" t="n"/>
      <c r="O296" s="45" t="n"/>
      <c r="P296" s="31" t="n"/>
      <c r="Q296" s="46" t="n"/>
      <c r="R296" s="46" t="n"/>
      <c r="S296" s="46" t="n"/>
      <c r="T296" s="42" t="n"/>
      <c r="V296" s="45" t="n"/>
      <c r="W296" s="45" t="n"/>
      <c r="X296" s="45" t="n"/>
      <c r="Y296" s="31" t="n"/>
      <c r="Z296" s="46" t="n"/>
      <c r="AA296" s="46" t="n"/>
      <c r="AB296" s="46" t="n"/>
      <c r="AC296" s="42" t="n"/>
      <c r="AE296" s="32" t="n"/>
      <c r="AF296" s="32" t="n"/>
      <c r="AG296" s="33" t="n"/>
      <c r="AH296" s="43" t="n"/>
      <c r="AI296" s="43" t="n"/>
      <c r="AJ296" s="44" t="n"/>
      <c r="AL296" s="35" t="n"/>
      <c r="AM296" s="35" t="n"/>
      <c r="AN296" s="35" t="n"/>
    </row>
    <row r="297">
      <c r="A297" s="27" t="n"/>
      <c r="B297" s="28" t="n"/>
      <c r="C297" s="28" t="n"/>
      <c r="D297" s="28" t="n"/>
      <c r="E297" s="45" t="n"/>
      <c r="F297" s="46" t="n"/>
      <c r="G297" s="46" t="n"/>
      <c r="H297" s="46" t="n"/>
      <c r="I297" s="46" t="n"/>
      <c r="J297" s="40" t="n"/>
      <c r="L297" s="45" t="n"/>
      <c r="M297" s="45" t="n"/>
      <c r="N297" s="45" t="n"/>
      <c r="O297" s="45" t="n"/>
      <c r="P297" s="31" t="n"/>
      <c r="Q297" s="46" t="n"/>
      <c r="R297" s="46" t="n"/>
      <c r="S297" s="46" t="n"/>
      <c r="T297" s="42" t="n"/>
      <c r="V297" s="45" t="n"/>
      <c r="W297" s="45" t="n"/>
      <c r="X297" s="45" t="n"/>
      <c r="Y297" s="31" t="n"/>
      <c r="Z297" s="46" t="n"/>
      <c r="AA297" s="46" t="n"/>
      <c r="AB297" s="46" t="n"/>
      <c r="AC297" s="42" t="n"/>
      <c r="AE297" s="32" t="n"/>
      <c r="AF297" s="32" t="n"/>
      <c r="AG297" s="33" t="n"/>
      <c r="AH297" s="43" t="n"/>
      <c r="AI297" s="43" t="n"/>
      <c r="AJ297" s="44" t="n"/>
      <c r="AL297" s="35" t="n"/>
      <c r="AM297" s="35" t="n"/>
      <c r="AN297" s="35" t="n"/>
    </row>
    <row r="298">
      <c r="A298" s="27" t="n"/>
      <c r="B298" s="28" t="n"/>
      <c r="C298" s="28" t="n"/>
      <c r="D298" s="28" t="n"/>
      <c r="E298" s="45" t="n"/>
      <c r="F298" s="46" t="n"/>
      <c r="G298" s="46" t="n"/>
      <c r="H298" s="46" t="n"/>
      <c r="I298" s="46" t="n"/>
      <c r="J298" s="40" t="n"/>
      <c r="L298" s="45" t="n"/>
      <c r="M298" s="45" t="n"/>
      <c r="N298" s="45" t="n"/>
      <c r="O298" s="45" t="n"/>
      <c r="P298" s="31" t="n"/>
      <c r="Q298" s="46" t="n"/>
      <c r="R298" s="46" t="n"/>
      <c r="S298" s="46" t="n"/>
      <c r="T298" s="42" t="n"/>
      <c r="V298" s="45" t="n"/>
      <c r="W298" s="45" t="n"/>
      <c r="X298" s="45" t="n"/>
      <c r="Y298" s="31" t="n"/>
      <c r="Z298" s="46" t="n"/>
      <c r="AA298" s="46" t="n"/>
      <c r="AB298" s="46" t="n"/>
      <c r="AC298" s="42" t="n"/>
      <c r="AE298" s="32" t="n"/>
      <c r="AF298" s="32" t="n"/>
      <c r="AG298" s="33" t="n"/>
      <c r="AH298" s="43" t="n"/>
      <c r="AI298" s="43" t="n"/>
      <c r="AJ298" s="44" t="n"/>
      <c r="AL298" s="35" t="n"/>
      <c r="AM298" s="35" t="n"/>
      <c r="AN298" s="35" t="n"/>
    </row>
    <row r="299">
      <c r="A299" s="27" t="n"/>
      <c r="B299" s="28" t="n"/>
      <c r="C299" s="28" t="n"/>
      <c r="D299" s="28" t="n"/>
      <c r="E299" s="45" t="n"/>
      <c r="F299" s="46" t="n"/>
      <c r="G299" s="46" t="n"/>
      <c r="H299" s="46" t="n"/>
      <c r="I299" s="46" t="n"/>
      <c r="J299" s="40" t="n"/>
      <c r="L299" s="45" t="n"/>
      <c r="M299" s="45" t="n"/>
      <c r="N299" s="45" t="n"/>
      <c r="O299" s="45" t="n"/>
      <c r="P299" s="31" t="n"/>
      <c r="Q299" s="46" t="n"/>
      <c r="R299" s="46" t="n"/>
      <c r="S299" s="46" t="n"/>
      <c r="T299" s="42" t="n"/>
      <c r="V299" s="45" t="n"/>
      <c r="W299" s="45" t="n"/>
      <c r="X299" s="45" t="n"/>
      <c r="Y299" s="31" t="n"/>
      <c r="Z299" s="46" t="n"/>
      <c r="AA299" s="46" t="n"/>
      <c r="AB299" s="46" t="n"/>
      <c r="AC299" s="42" t="n"/>
      <c r="AE299" s="32" t="n"/>
      <c r="AF299" s="32" t="n"/>
      <c r="AG299" s="33" t="n"/>
      <c r="AH299" s="43" t="n"/>
      <c r="AI299" s="43" t="n"/>
      <c r="AJ299" s="44" t="n"/>
      <c r="AL299" s="35" t="n"/>
      <c r="AM299" s="35" t="n"/>
      <c r="AN299" s="35" t="n"/>
    </row>
    <row r="300">
      <c r="A300" s="27" t="n"/>
      <c r="B300" s="28" t="n"/>
      <c r="C300" s="28" t="n"/>
      <c r="D300" s="28" t="n"/>
      <c r="E300" s="45" t="n"/>
      <c r="F300" s="46" t="n"/>
      <c r="G300" s="46" t="n"/>
      <c r="H300" s="46" t="n"/>
      <c r="I300" s="46" t="n"/>
      <c r="J300" s="40" t="n"/>
      <c r="L300" s="45" t="n"/>
      <c r="M300" s="45" t="n"/>
      <c r="N300" s="45" t="n"/>
      <c r="O300" s="45" t="n"/>
      <c r="P300" s="31" t="n"/>
      <c r="Q300" s="46" t="n"/>
      <c r="R300" s="46" t="n"/>
      <c r="S300" s="46" t="n"/>
      <c r="T300" s="42" t="n"/>
      <c r="V300" s="45" t="n"/>
      <c r="W300" s="45" t="n"/>
      <c r="X300" s="45" t="n"/>
      <c r="Y300" s="31" t="n"/>
      <c r="Z300" s="46" t="n"/>
      <c r="AA300" s="46" t="n"/>
      <c r="AB300" s="46" t="n"/>
      <c r="AC300" s="42" t="n"/>
      <c r="AE300" s="32" t="n"/>
      <c r="AF300" s="32" t="n"/>
      <c r="AG300" s="33" t="n"/>
      <c r="AH300" s="43" t="n"/>
      <c r="AI300" s="43" t="n"/>
      <c r="AJ300" s="44" t="n"/>
      <c r="AL300" s="35" t="n"/>
      <c r="AM300" s="35" t="n"/>
      <c r="AN300" s="35" t="n"/>
    </row>
  </sheetData>
  <mergeCells count="1">
    <mergeCell ref="A1:N1"/>
  </mergeCells>
  <conditionalFormatting sqref="F12:F30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12:G30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H12:H30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12:I30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12:J30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12:AG300">
    <cfRule type="cellIs" priority="11" operator="notEqual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ssheetDoggy / octoGpt bills format</t>
        </is>
      </c>
    </row>
    <row r="3">
      <c r="A3" s="36" t="inlineStr">
        <is>
          <t>PROJECT</t>
        </is>
      </c>
      <c r="B3" s="37" t="inlineStr">
        <is>
          <t>octoGpt / bills</t>
        </is>
      </c>
    </row>
    <row r="4">
      <c r="A4" s="36" t="n"/>
      <c r="B4" s="37" t="n"/>
    </row>
    <row r="5">
      <c r="A5" s="36" t="inlineStr">
        <is>
          <t>IDEA</t>
        </is>
      </c>
      <c r="B5" s="37" t="inlineStr">
        <is>
          <t>WHAT -&gt; WHY -&gt; TRUE</t>
        </is>
      </c>
    </row>
    <row r="6">
      <c r="A6" s="36" t="n"/>
      <c r="B6" s="37" t="n"/>
    </row>
    <row r="7">
      <c r="A7" s="36" t="inlineStr">
        <is>
          <t>LHS</t>
        </is>
      </c>
      <c r="B7" s="37" t="inlineStr">
        <is>
          <t>SUP STMT FROM TO DAYS BFWD PAY ADJ NEW BNEW</t>
        </is>
      </c>
    </row>
    <row r="8">
      <c r="A8" s="36" t="inlineStr">
        <is>
          <t>GAS</t>
        </is>
      </c>
      <c r="B8" s="37" t="inlineStr">
        <is>
          <t>G_S G_E G_U G_KWH G_RATE G_USE£ G_STND£ G_TOT£ G_ANN</t>
        </is>
      </c>
    </row>
    <row r="9">
      <c r="A9" s="36" t="inlineStr">
        <is>
          <t>ELEC</t>
        </is>
      </c>
      <c r="B9" s="37" t="inlineStr">
        <is>
          <t>E_S E_E E_U E_RATE E_USE£ E_STND£ E_TOT£ E_ANN</t>
        </is>
      </c>
    </row>
    <row r="10">
      <c r="A10" s="36" t="inlineStr">
        <is>
          <t>CALC</t>
        </is>
      </c>
      <c r="B10" s="37" t="inlineStr">
        <is>
          <t>G_FACT G_CV* CHK G_£/DAY E_£/DAY TOT_£</t>
        </is>
      </c>
    </row>
    <row r="11">
      <c r="A11" s="36" t="inlineStr">
        <is>
          <t>REFS</t>
        </is>
      </c>
      <c r="B11" s="37" t="inlineStr">
        <is>
          <t>FILE NOTES SOURCE_TYPE</t>
        </is>
      </c>
    </row>
    <row r="12">
      <c r="A12" s="36" t="n"/>
      <c r="B12" s="37" t="n"/>
    </row>
    <row r="13">
      <c r="A13" s="36" t="inlineStr">
        <is>
          <t>RULE</t>
        </is>
      </c>
      <c r="B13" s="37" t="inlineStr">
        <is>
          <t>BFWD + PAY + ADJ + NEW = BNEW</t>
        </is>
      </c>
    </row>
    <row r="14">
      <c r="A14" s="36" t="n"/>
      <c r="B14" s="37" t="n"/>
    </row>
    <row r="15">
      <c r="A15" s="36" t="inlineStr">
        <is>
          <t>COLOUR</t>
        </is>
      </c>
      <c r="B15" s="37" t="inlineStr">
        <is>
          <t>+ = red (I owe), - = green (credit)</t>
        </is>
      </c>
    </row>
    <row r="16">
      <c r="A16" s="36" t="n"/>
      <c r="B16" s="37" t="n"/>
    </row>
    <row r="17">
      <c r="A17" s="36" t="inlineStr">
        <is>
          <t>FLOW</t>
        </is>
      </c>
      <c r="B17" s="37" t="inlineStr">
        <is>
          <t>Rows 1-10 control, row 11 headers, row 12 demo, row 13+ real data</t>
        </is>
      </c>
    </row>
    <row r="18">
      <c r="A18" s="36" t="n"/>
      <c r="B18" s="37" t="n"/>
    </row>
    <row r="19">
      <c r="A19" s="36" t="inlineStr">
        <is>
          <t>NOTE</t>
        </is>
      </c>
      <c r="B19" s="37" t="inlineStr">
        <is>
          <t>Demo row 12 is cordoned off. Delete it or start real bills on row 13.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28" customWidth="1" min="9" max="9"/>
  </cols>
  <sheetData>
    <row r="1">
      <c r="A1" t="inlineStr">
        <is>
          <t>Date</t>
        </is>
      </c>
      <c r="B1" t="inlineStr">
        <is>
          <t>Reference</t>
        </is>
      </c>
      <c r="C1" t="inlineStr">
        <is>
          <t>Type</t>
        </is>
      </c>
      <c r="D1" t="inlineStr">
        <is>
          <t>Elec_Read</t>
        </is>
      </c>
      <c r="E1" t="inlineStr">
        <is>
          <t>Gas_Read</t>
        </is>
      </c>
      <c r="F1" t="inlineStr">
        <is>
          <t>Amount</t>
        </is>
      </c>
      <c r="G1" t="inlineStr">
        <is>
          <t>Balance</t>
        </is>
      </c>
      <c r="H1" t="inlineStr">
        <is>
          <t>Flag</t>
        </is>
      </c>
      <c r="I1" t="inlineStr">
        <is>
          <t>Notes</t>
        </is>
      </c>
    </row>
    <row r="2">
      <c r="A2" t="inlineStr">
        <is>
          <t>26/09/21</t>
        </is>
      </c>
      <c r="B2" t="n">
        <v>17536352</v>
      </c>
      <c r="C2" t="inlineStr">
        <is>
          <t>AVRO_FINAL</t>
        </is>
      </c>
      <c r="D2" t="n">
        <v>5034</v>
      </c>
      <c r="E2" t="n">
        <v>56837.3</v>
      </c>
      <c r="F2" t="n">
        <v>-950.45</v>
      </c>
      <c r="G2" t="n">
        <v>-950.45</v>
      </c>
      <c r="H2" t="inlineStr">
        <is>
          <t>****</t>
        </is>
      </c>
      <c r="I2" t="inlineStr">
        <is>
          <t>Sign Convention: True Credit</t>
        </is>
      </c>
    </row>
    <row r="3">
      <c r="A3" t="inlineStr">
        <is>
          <t>20/11/21</t>
        </is>
      </c>
      <c r="B3" s="47" t="n">
        <v>46296</v>
      </c>
      <c r="C3" t="inlineStr">
        <is>
          <t>OPENING</t>
        </is>
      </c>
      <c r="D3" t="n">
        <v>5210</v>
      </c>
      <c r="E3" t="n">
        <v>57100</v>
      </c>
      <c r="F3" t="n">
        <v>293.44</v>
      </c>
      <c r="G3" t="n">
        <v>-657.01</v>
      </c>
      <c r="H3" t="inlineStr">
        <is>
          <t>****</t>
        </is>
      </c>
      <c r="I3" t="inlineStr">
        <is>
          <t>Ghost Debt Transfer</t>
        </is>
      </c>
    </row>
    <row r="4">
      <c r="A4" t="inlineStr">
        <is>
          <t>15/12/21</t>
        </is>
      </c>
      <c r="B4" s="47" t="n">
        <v>46297</v>
      </c>
      <c r="C4" t="inlineStr">
        <is>
          <t>BILL</t>
        </is>
      </c>
      <c r="D4" t="n">
        <v>5280</v>
      </c>
      <c r="E4" t="n">
        <v>57250</v>
      </c>
      <c r="F4" t="n">
        <v>85.2</v>
      </c>
      <c r="G4" t="n">
        <v>-571.8099999999999</v>
      </c>
      <c r="H4" t="inlineStr">
        <is>
          <t>MATCH</t>
        </is>
      </c>
      <c r="I4" t="inlineStr">
        <is>
          <t>Early winter baseline</t>
        </is>
      </c>
    </row>
    <row r="5">
      <c r="A5" t="inlineStr">
        <is>
          <t>15/01/22</t>
        </is>
      </c>
      <c r="B5" s="47" t="n">
        <v>46299</v>
      </c>
      <c r="C5" t="inlineStr">
        <is>
          <t>BILL</t>
        </is>
      </c>
      <c r="D5" t="n">
        <v>5350</v>
      </c>
      <c r="E5" t="n">
        <v>57400</v>
      </c>
      <c r="F5" t="n">
        <v>112.1</v>
      </c>
      <c r="G5" t="n">
        <v>-459.71</v>
      </c>
      <c r="H5" t="inlineStr">
        <is>
          <t>MATCH</t>
        </is>
      </c>
      <c r="I5" s="47" t="n">
        <v>44562</v>
      </c>
    </row>
    <row r="6">
      <c r="A6" t="inlineStr">
        <is>
          <t>14/02/22</t>
        </is>
      </c>
      <c r="B6" s="47" t="n">
        <v>46301</v>
      </c>
      <c r="C6" t="inlineStr">
        <is>
          <t>BILL</t>
        </is>
      </c>
      <c r="D6" t="n">
        <v>5420</v>
      </c>
      <c r="E6" t="n">
        <v>57550</v>
      </c>
      <c r="F6" t="n">
        <v>98.40000000000001</v>
      </c>
      <c r="G6" t="n">
        <v>-361.31</v>
      </c>
      <c r="H6" t="inlineStr">
        <is>
          <t>MATCH</t>
        </is>
      </c>
      <c r="I6" s="47" t="n">
        <v>44593</v>
      </c>
    </row>
    <row r="7">
      <c r="A7" t="inlineStr">
        <is>
          <t>15/03/22</t>
        </is>
      </c>
      <c r="B7" s="47" t="n">
        <v>46303</v>
      </c>
      <c r="C7" t="inlineStr">
        <is>
          <t>BILL</t>
        </is>
      </c>
      <c r="D7" t="n">
        <v>5500</v>
      </c>
      <c r="E7" t="n">
        <v>57700</v>
      </c>
      <c r="F7" t="n">
        <v>105.2</v>
      </c>
      <c r="G7" t="n">
        <v>-256.11</v>
      </c>
      <c r="H7" t="inlineStr">
        <is>
          <t>MATCH</t>
        </is>
      </c>
      <c r="I7" s="47" t="n">
        <v>44621</v>
      </c>
    </row>
    <row r="8">
      <c r="A8" t="inlineStr">
        <is>
          <t>14/04/22</t>
        </is>
      </c>
      <c r="B8" s="47" t="n">
        <v>46305</v>
      </c>
      <c r="C8" t="inlineStr">
        <is>
          <t>BILL</t>
        </is>
      </c>
      <c r="D8" t="n">
        <v>5580</v>
      </c>
      <c r="E8" t="n">
        <v>57800</v>
      </c>
      <c r="F8" t="n">
        <v>88.40000000000001</v>
      </c>
      <c r="G8" t="n">
        <v>-167.71</v>
      </c>
      <c r="H8" t="inlineStr">
        <is>
          <t>MATCH</t>
        </is>
      </c>
      <c r="I8" s="47" t="n">
        <v>44652</v>
      </c>
    </row>
    <row r="9">
      <c r="A9" t="inlineStr">
        <is>
          <t>15/05/22</t>
        </is>
      </c>
      <c r="B9" s="47" t="n">
        <v>46307</v>
      </c>
      <c r="C9" t="inlineStr">
        <is>
          <t>BILL</t>
        </is>
      </c>
      <c r="D9" t="n">
        <v>5650</v>
      </c>
      <c r="E9" t="n">
        <v>57900</v>
      </c>
      <c r="F9" t="n">
        <v>65.3</v>
      </c>
      <c r="G9" t="n">
        <v>-102.41</v>
      </c>
      <c r="H9" t="inlineStr">
        <is>
          <t>MATCH</t>
        </is>
      </c>
      <c r="I9" s="47" t="n">
        <v>44682</v>
      </c>
    </row>
    <row r="10">
      <c r="A10" t="inlineStr">
        <is>
          <t>14/06/22</t>
        </is>
      </c>
      <c r="B10" s="47" t="n">
        <v>46309</v>
      </c>
      <c r="C10" t="inlineStr">
        <is>
          <t>BILL</t>
        </is>
      </c>
      <c r="D10" t="n">
        <v>5700</v>
      </c>
      <c r="E10" t="n">
        <v>57950</v>
      </c>
      <c r="F10" t="n">
        <v>42.1</v>
      </c>
      <c r="G10" t="n">
        <v>-60.31</v>
      </c>
      <c r="H10" t="inlineStr">
        <is>
          <t>MATCH</t>
        </is>
      </c>
      <c r="I10" s="47" t="n">
        <v>44713</v>
      </c>
    </row>
    <row r="11">
      <c r="A11" t="inlineStr">
        <is>
          <t>15/07/22</t>
        </is>
      </c>
      <c r="B11" s="47" t="n">
        <v>46311</v>
      </c>
      <c r="C11" t="inlineStr">
        <is>
          <t>BILL</t>
        </is>
      </c>
      <c r="D11" t="n">
        <v>5750</v>
      </c>
      <c r="E11" t="n">
        <v>58000</v>
      </c>
      <c r="F11" t="n">
        <v>35.2</v>
      </c>
      <c r="G11" t="n">
        <v>-25.11</v>
      </c>
      <c r="H11" t="inlineStr">
        <is>
          <t>MATCH</t>
        </is>
      </c>
      <c r="I11" s="47" t="n">
        <v>44743</v>
      </c>
    </row>
    <row r="12">
      <c r="A12" t="inlineStr">
        <is>
          <t>14/08/22</t>
        </is>
      </c>
      <c r="B12" s="47" t="n">
        <v>46313</v>
      </c>
      <c r="C12" t="inlineStr">
        <is>
          <t>EST</t>
        </is>
      </c>
      <c r="D12" t="n">
        <v>5800</v>
      </c>
      <c r="E12" t="n">
        <v>58100</v>
      </c>
      <c r="F12" t="n">
        <v>45</v>
      </c>
      <c r="G12" t="n">
        <v>-414.71</v>
      </c>
      <c r="H12" t="inlineStr">
        <is>
          <t>//</t>
        </is>
      </c>
      <c r="I12" t="inlineStr">
        <is>
          <t>Low summer estimate</t>
        </is>
      </c>
    </row>
    <row r="13">
      <c r="A13" t="inlineStr">
        <is>
          <t>19/05/23</t>
        </is>
      </c>
      <c r="B13" t="inlineStr">
        <is>
          <t>EMAIL</t>
        </is>
      </c>
      <c r="C13" t="inlineStr">
        <is>
          <t>DISPUTE</t>
        </is>
      </c>
      <c r="D13" t="inlineStr">
        <is>
          <t>---</t>
        </is>
      </c>
      <c r="E13" t="inlineStr">
        <is>
          <t>---</t>
        </is>
      </c>
      <c r="F13" t="n">
        <v>0</v>
      </c>
      <c r="G13" t="n">
        <v>-414.71</v>
      </c>
      <c r="H13" t="inlineStr">
        <is>
          <t>DD</t>
        </is>
      </c>
      <c r="I13" t="inlineStr">
        <is>
          <t>Declined DD increase</t>
        </is>
      </c>
    </row>
    <row r="14">
      <c r="A14" s="47" t="n">
        <v>45083</v>
      </c>
      <c r="B14" t="inlineStr">
        <is>
          <t>BANK</t>
        </is>
      </c>
      <c r="C14" t="inlineStr">
        <is>
          <t>BREACH</t>
        </is>
      </c>
      <c r="D14" t="inlineStr">
        <is>
          <t>---</t>
        </is>
      </c>
      <c r="E14" t="inlineStr">
        <is>
          <t>---</t>
        </is>
      </c>
      <c r="F14" t="n">
        <v>512.4</v>
      </c>
      <c r="G14" t="n">
        <v>97.69</v>
      </c>
      <c r="H14" t="inlineStr">
        <is>
          <t>****</t>
        </is>
      </c>
      <c r="I14" t="inlineStr">
        <is>
          <t>UNAUTHORISED &gt;Â£500 TAKEN</t>
        </is>
      </c>
    </row>
    <row r="15">
      <c r="A15" t="inlineStr">
        <is>
          <t>14/07/23</t>
        </is>
      </c>
      <c r="B15" t="inlineStr">
        <is>
          <t>OCT-42</t>
        </is>
      </c>
      <c r="C15" t="inlineStr">
        <is>
          <t>BILL</t>
        </is>
      </c>
      <c r="D15" t="n">
        <v>6450</v>
      </c>
      <c r="E15" t="n">
        <v>59200</v>
      </c>
      <c r="F15" t="n">
        <v>88.5</v>
      </c>
      <c r="G15" t="n">
        <v>186.19</v>
      </c>
      <c r="H15" t="inlineStr">
        <is>
          <t>MATCH</t>
        </is>
      </c>
      <c r="I15" s="47" t="n">
        <v>45108</v>
      </c>
    </row>
    <row r="16">
      <c r="A16" t="inlineStr">
        <is>
          <t>15/08/23</t>
        </is>
      </c>
      <c r="B16" t="inlineStr">
        <is>
          <t>OCT-44</t>
        </is>
      </c>
      <c r="C16" t="inlineStr">
        <is>
          <t>BILL</t>
        </is>
      </c>
      <c r="D16" t="n">
        <v>6520</v>
      </c>
      <c r="E16" t="n">
        <v>59300</v>
      </c>
      <c r="F16" t="n">
        <v>72.09999999999999</v>
      </c>
      <c r="G16" t="n">
        <v>258.29</v>
      </c>
      <c r="H16" t="inlineStr">
        <is>
          <t>MATCH</t>
        </is>
      </c>
      <c r="I16" s="47" t="n">
        <v>45139</v>
      </c>
    </row>
    <row r="17">
      <c r="A17" t="inlineStr">
        <is>
          <t>14/09/23</t>
        </is>
      </c>
      <c r="B17" t="inlineStr">
        <is>
          <t>OCT-46</t>
        </is>
      </c>
      <c r="C17" t="inlineStr">
        <is>
          <t>BILL</t>
        </is>
      </c>
      <c r="D17" t="n">
        <v>6600</v>
      </c>
      <c r="E17" t="n">
        <v>59450</v>
      </c>
      <c r="F17" t="n">
        <v>65.40000000000001</v>
      </c>
      <c r="G17" t="n">
        <v>323.69</v>
      </c>
      <c r="H17" t="inlineStr">
        <is>
          <t>MATCH</t>
        </is>
      </c>
      <c r="I17" s="47" t="n">
        <v>45170</v>
      </c>
    </row>
    <row r="18">
      <c r="A18" t="inlineStr">
        <is>
          <t>15/10/23</t>
        </is>
      </c>
      <c r="B18" t="inlineStr">
        <is>
          <t>OCT-48</t>
        </is>
      </c>
      <c r="C18" t="inlineStr">
        <is>
          <t>BILL</t>
        </is>
      </c>
      <c r="D18" t="n">
        <v>6700</v>
      </c>
      <c r="E18" t="n">
        <v>59600</v>
      </c>
      <c r="F18" t="n">
        <v>92.3</v>
      </c>
      <c r="G18" t="n">
        <v>415.99</v>
      </c>
      <c r="H18" t="inlineStr">
        <is>
          <t>MATCH</t>
        </is>
      </c>
      <c r="I18" s="47" t="n">
        <v>45200</v>
      </c>
    </row>
    <row r="19">
      <c r="A19" t="inlineStr">
        <is>
          <t>14/11/23</t>
        </is>
      </c>
      <c r="B19" t="inlineStr">
        <is>
          <t>OCT-50</t>
        </is>
      </c>
      <c r="C19" t="inlineStr">
        <is>
          <t>BILL</t>
        </is>
      </c>
      <c r="D19" t="n">
        <v>6850</v>
      </c>
      <c r="E19" t="n">
        <v>59850</v>
      </c>
      <c r="F19" t="n">
        <v>145.2</v>
      </c>
      <c r="G19" t="n">
        <v>561.1900000000001</v>
      </c>
      <c r="H19" t="inlineStr">
        <is>
          <t>MATCH</t>
        </is>
      </c>
      <c r="I19" s="47" t="n">
        <v>45231</v>
      </c>
    </row>
    <row r="20">
      <c r="A20" t="inlineStr">
        <is>
          <t>15/12/23</t>
        </is>
      </c>
      <c r="B20" t="inlineStr">
        <is>
          <t>OCT-52</t>
        </is>
      </c>
      <c r="C20" t="inlineStr">
        <is>
          <t>BILL</t>
        </is>
      </c>
      <c r="D20" t="n">
        <v>7050</v>
      </c>
      <c r="E20" t="n">
        <v>60200</v>
      </c>
      <c r="F20" t="n">
        <v>210.5</v>
      </c>
      <c r="G20" t="n">
        <v>771.6900000000001</v>
      </c>
      <c r="H20" t="inlineStr">
        <is>
          <t>MATCH</t>
        </is>
      </c>
      <c r="I20" s="47" t="n">
        <v>45261</v>
      </c>
    </row>
    <row r="21">
      <c r="A21" t="inlineStr">
        <is>
          <t>15/01/24</t>
        </is>
      </c>
      <c r="B21" t="inlineStr">
        <is>
          <t>OCT-54</t>
        </is>
      </c>
      <c r="C21" t="inlineStr">
        <is>
          <t>EST</t>
        </is>
      </c>
      <c r="D21" t="n">
        <v>7200</v>
      </c>
      <c r="E21" t="n">
        <v>60500</v>
      </c>
      <c r="F21" t="n">
        <v>185.3</v>
      </c>
      <c r="G21" t="n">
        <v>956.99</v>
      </c>
      <c r="H21" t="inlineStr">
        <is>
          <t>//</t>
        </is>
      </c>
      <c r="I21" t="inlineStr">
        <is>
          <t>Jan 2024 Est</t>
        </is>
      </c>
    </row>
    <row r="22">
      <c r="A22" t="inlineStr">
        <is>
          <t>14/02/24</t>
        </is>
      </c>
      <c r="B22" t="inlineStr">
        <is>
          <t>OCT-56</t>
        </is>
      </c>
      <c r="C22" t="inlineStr">
        <is>
          <t>BILL</t>
        </is>
      </c>
      <c r="D22" t="n">
        <v>7350</v>
      </c>
      <c r="E22" t="n">
        <v>60850</v>
      </c>
      <c r="F22" t="n">
        <v>192.4</v>
      </c>
      <c r="G22" t="n">
        <v>1149.39</v>
      </c>
      <c r="H22" t="inlineStr">
        <is>
          <t>MATCH</t>
        </is>
      </c>
      <c r="I22" s="47" t="n">
        <v>45323</v>
      </c>
    </row>
    <row r="23">
      <c r="A23" t="inlineStr">
        <is>
          <t>15/03/24</t>
        </is>
      </c>
      <c r="B23" t="inlineStr">
        <is>
          <t>OCT-58</t>
        </is>
      </c>
      <c r="C23" t="inlineStr">
        <is>
          <t>BILL</t>
        </is>
      </c>
      <c r="D23" t="n">
        <v>7480</v>
      </c>
      <c r="E23" t="n">
        <v>61100</v>
      </c>
      <c r="F23" t="n">
        <v>165.2</v>
      </c>
      <c r="G23" t="n">
        <v>1314.59</v>
      </c>
      <c r="H23" t="inlineStr">
        <is>
          <t>MATCH</t>
        </is>
      </c>
      <c r="I23" s="47" t="n">
        <v>45352</v>
      </c>
    </row>
    <row r="24">
      <c r="A24" t="inlineStr">
        <is>
          <t>14/04/24</t>
        </is>
      </c>
      <c r="B24" t="inlineStr">
        <is>
          <t>OCT-60</t>
        </is>
      </c>
      <c r="C24" t="inlineStr">
        <is>
          <t>BILL</t>
        </is>
      </c>
      <c r="D24" t="n">
        <v>7580</v>
      </c>
      <c r="E24" t="n">
        <v>61250</v>
      </c>
      <c r="F24" t="n">
        <v>120.4</v>
      </c>
      <c r="G24" t="n">
        <v>1434.99</v>
      </c>
      <c r="H24" t="inlineStr">
        <is>
          <t>MATCH</t>
        </is>
      </c>
      <c r="I24" s="47" t="n">
        <v>45383</v>
      </c>
    </row>
    <row r="25">
      <c r="A25" t="inlineStr">
        <is>
          <t>15/05/24</t>
        </is>
      </c>
      <c r="B25" t="inlineStr">
        <is>
          <t>OCT-62</t>
        </is>
      </c>
      <c r="C25" t="inlineStr">
        <is>
          <t>BILL</t>
        </is>
      </c>
      <c r="D25" t="n">
        <v>7650</v>
      </c>
      <c r="E25" t="n">
        <v>61350</v>
      </c>
      <c r="F25" t="n">
        <v>85.3</v>
      </c>
      <c r="G25" t="n">
        <v>1520.29</v>
      </c>
      <c r="H25" t="inlineStr">
        <is>
          <t>MATCH</t>
        </is>
      </c>
      <c r="I25" s="47" t="n">
        <v>45413</v>
      </c>
    </row>
    <row r="26">
      <c r="A26" t="inlineStr">
        <is>
          <t>14/06/24</t>
        </is>
      </c>
      <c r="B26" t="inlineStr">
        <is>
          <t>OCT-64</t>
        </is>
      </c>
      <c r="C26" t="inlineStr">
        <is>
          <t>BILL</t>
        </is>
      </c>
      <c r="D26" t="n">
        <v>7720</v>
      </c>
      <c r="E26" t="n">
        <v>61420</v>
      </c>
      <c r="F26" t="n">
        <v>62.1</v>
      </c>
      <c r="G26" t="n">
        <v>1582.39</v>
      </c>
      <c r="H26" t="inlineStr">
        <is>
          <t>MATCH</t>
        </is>
      </c>
      <c r="I26" s="47" t="n">
        <v>45444</v>
      </c>
    </row>
    <row r="27">
      <c r="A27" t="inlineStr">
        <is>
          <t>15/07/24</t>
        </is>
      </c>
      <c r="B27" t="inlineStr">
        <is>
          <t>OCT-66</t>
        </is>
      </c>
      <c r="C27" t="inlineStr">
        <is>
          <t>BILL</t>
        </is>
      </c>
      <c r="D27" t="n">
        <v>7780</v>
      </c>
      <c r="E27" t="n">
        <v>61480</v>
      </c>
      <c r="F27" t="n">
        <v>55.4</v>
      </c>
      <c r="G27" t="n">
        <v>1637.79</v>
      </c>
      <c r="H27" t="inlineStr">
        <is>
          <t>MATCH</t>
        </is>
      </c>
      <c r="I27" s="47" t="n">
        <v>45474</v>
      </c>
    </row>
    <row r="28">
      <c r="A28" t="inlineStr">
        <is>
          <t>14/08/24</t>
        </is>
      </c>
      <c r="B28" t="inlineStr">
        <is>
          <t>OCT-68</t>
        </is>
      </c>
      <c r="C28" t="inlineStr">
        <is>
          <t>EST</t>
        </is>
      </c>
      <c r="D28" t="n">
        <v>7850</v>
      </c>
      <c r="E28" t="n">
        <v>61550</v>
      </c>
      <c r="F28" t="n">
        <v>65</v>
      </c>
      <c r="G28" t="n">
        <v>1702.79</v>
      </c>
      <c r="H28" t="inlineStr">
        <is>
          <t>//</t>
        </is>
      </c>
      <c r="I28" t="inlineStr">
        <is>
          <t>Aug 2024 Est</t>
        </is>
      </c>
    </row>
    <row r="29">
      <c r="A29" t="inlineStr">
        <is>
          <t>15/09/24</t>
        </is>
      </c>
      <c r="B29" t="inlineStr">
        <is>
          <t>OCT-70</t>
        </is>
      </c>
      <c r="C29" t="inlineStr">
        <is>
          <t>BILL</t>
        </is>
      </c>
      <c r="D29" t="n">
        <v>7920</v>
      </c>
      <c r="E29" t="n">
        <v>61620</v>
      </c>
      <c r="F29" t="n">
        <v>72.09999999999999</v>
      </c>
      <c r="G29" t="n">
        <v>1774.89</v>
      </c>
      <c r="H29" t="inlineStr">
        <is>
          <t>MATCH</t>
        </is>
      </c>
      <c r="I29" s="47" t="n">
        <v>45536</v>
      </c>
    </row>
    <row r="30">
      <c r="A30" t="inlineStr">
        <is>
          <t>14/10/24</t>
        </is>
      </c>
      <c r="B30" t="inlineStr">
        <is>
          <t>OCT-72</t>
        </is>
      </c>
      <c r="C30" t="inlineStr">
        <is>
          <t>BILL</t>
        </is>
      </c>
      <c r="D30" t="n">
        <v>8020</v>
      </c>
      <c r="E30" t="n">
        <v>61750</v>
      </c>
      <c r="F30" t="n">
        <v>110.4</v>
      </c>
      <c r="G30" t="n">
        <v>1885.29</v>
      </c>
      <c r="H30" t="inlineStr">
        <is>
          <t>MATCH</t>
        </is>
      </c>
      <c r="I30" s="47" t="n">
        <v>45566</v>
      </c>
    </row>
    <row r="31">
      <c r="A31" t="inlineStr">
        <is>
          <t>15/11/24</t>
        </is>
      </c>
      <c r="B31" t="inlineStr">
        <is>
          <t>OCT-74</t>
        </is>
      </c>
      <c r="C31" t="inlineStr">
        <is>
          <t>BILL</t>
        </is>
      </c>
      <c r="D31" t="n">
        <v>8150</v>
      </c>
      <c r="E31" t="n">
        <v>61950</v>
      </c>
      <c r="F31" t="n">
        <v>165.3</v>
      </c>
      <c r="G31" t="n">
        <v>2050.59</v>
      </c>
      <c r="H31" t="inlineStr">
        <is>
          <t>MATCH</t>
        </is>
      </c>
      <c r="I31" s="47" t="n">
        <v>45597</v>
      </c>
    </row>
    <row r="32">
      <c r="A32" t="inlineStr">
        <is>
          <t>28/11/24</t>
        </is>
      </c>
      <c r="B32" t="inlineStr">
        <is>
          <t>OCT-77</t>
        </is>
      </c>
      <c r="C32" t="inlineStr">
        <is>
          <t>EST</t>
        </is>
      </c>
      <c r="D32" t="n">
        <v>7620</v>
      </c>
      <c r="E32" t="n">
        <v>61850</v>
      </c>
      <c r="F32" t="n">
        <v>401.55</v>
      </c>
      <c r="G32" t="n">
        <v>-2524.03</v>
      </c>
      <c r="H32" t="inlineStr">
        <is>
          <t>//</t>
        </is>
      </c>
      <c r="I32" t="inlineStr">
        <is>
          <t>High Estimate vs Obsidian</t>
        </is>
      </c>
    </row>
    <row r="33">
      <c r="A33" t="inlineStr">
        <is>
          <t>31/12/24</t>
        </is>
      </c>
      <c r="B33" t="inlineStr">
        <is>
          <t>OCT-83</t>
        </is>
      </c>
      <c r="C33" t="inlineStr">
        <is>
          <t>ADJUST</t>
        </is>
      </c>
      <c r="D33" t="inlineStr">
        <is>
          <t>---</t>
        </is>
      </c>
      <c r="E33" t="inlineStr">
        <is>
          <t>---</t>
        </is>
      </c>
      <c r="F33" t="n">
        <v>536.22</v>
      </c>
      <c r="G33" t="n">
        <v>-2865.02</v>
      </c>
      <c r="H33" t="inlineStr">
        <is>
          <t>****</t>
        </is>
      </c>
      <c r="I33" t="inlineStr">
        <is>
          <t>New Year Overwrite spike</t>
        </is>
      </c>
    </row>
    <row r="34">
      <c r="A34" t="inlineStr">
        <is>
          <t>15/01/25</t>
        </is>
      </c>
      <c r="B34" t="inlineStr">
        <is>
          <t>OCT-85</t>
        </is>
      </c>
      <c r="C34" t="inlineStr">
        <is>
          <t>BILL</t>
        </is>
      </c>
      <c r="D34" t="n">
        <v>800</v>
      </c>
      <c r="E34" t="n">
        <v>290</v>
      </c>
      <c r="F34" t="n">
        <v>110.21</v>
      </c>
      <c r="G34" t="n">
        <v>-2975.23</v>
      </c>
      <c r="H34" t="inlineStr">
        <is>
          <t>MATCH</t>
        </is>
      </c>
      <c r="I34" t="inlineStr">
        <is>
          <t>2025 Cycle Start</t>
        </is>
      </c>
    </row>
    <row r="35">
      <c r="A35" t="inlineStr">
        <is>
          <t>30/03/25</t>
        </is>
      </c>
      <c r="B35" t="inlineStr">
        <is>
          <t>OCT-91</t>
        </is>
      </c>
      <c r="C35" t="inlineStr">
        <is>
          <t>CORRECT</t>
        </is>
      </c>
      <c r="D35" t="inlineStr">
        <is>
          <t>---</t>
        </is>
      </c>
      <c r="E35" t="inlineStr">
        <is>
          <t>---</t>
        </is>
      </c>
      <c r="F35" t="n">
        <v>745</v>
      </c>
      <c r="G35" t="n">
        <v>-3034.65</v>
      </c>
      <c r="H35" t="inlineStr">
        <is>
          <t>****</t>
        </is>
      </c>
      <c r="I35" t="inlineStr">
        <is>
          <t>Massive Gas Adjustment Spike</t>
        </is>
      </c>
    </row>
    <row r="36">
      <c r="A36" t="inlineStr">
        <is>
          <t>14/06/25</t>
        </is>
      </c>
      <c r="B36" t="inlineStr">
        <is>
          <t>OCT-98</t>
        </is>
      </c>
      <c r="C36" t="inlineStr">
        <is>
          <t>ACTUAL</t>
        </is>
      </c>
      <c r="D36" t="n">
        <v>8200</v>
      </c>
      <c r="E36" t="n">
        <v>63500</v>
      </c>
      <c r="F36" t="n">
        <v>65.3</v>
      </c>
      <c r="G36" t="n">
        <v>-2969.35</v>
      </c>
      <c r="H36" t="inlineStr">
        <is>
          <t>LOG</t>
        </is>
      </c>
      <c r="I36" t="inlineStr">
        <is>
          <t>Last clean Obsidian match</t>
        </is>
      </c>
    </row>
    <row r="37">
      <c r="A37" t="inlineStr">
        <is>
          <t>29/08/25</t>
        </is>
      </c>
      <c r="B37" t="inlineStr">
        <is>
          <t>OCT-99</t>
        </is>
      </c>
      <c r="C37" t="inlineStr">
        <is>
          <t>EST</t>
        </is>
      </c>
      <c r="D37" t="n">
        <v>8500</v>
      </c>
      <c r="E37" t="n">
        <v>64200</v>
      </c>
      <c r="F37" t="n">
        <v>401.77</v>
      </c>
      <c r="G37" t="n">
        <v>-3142.91</v>
      </c>
      <c r="H37" t="inlineStr">
        <is>
          <t>//</t>
        </is>
      </c>
      <c r="I37" t="inlineStr">
        <is>
          <t>35% Variance vs actuals</t>
        </is>
      </c>
    </row>
    <row r="38">
      <c r="A38" t="inlineStr">
        <is>
          <t>27/02/26</t>
        </is>
      </c>
      <c r="B38" t="inlineStr">
        <is>
          <t>NOTICE</t>
        </is>
      </c>
      <c r="C38" t="inlineStr">
        <is>
          <t>CAP</t>
        </is>
      </c>
      <c r="D38" t="inlineStr">
        <is>
          <t>---</t>
        </is>
      </c>
      <c r="E38" t="inlineStr">
        <is>
          <t>---</t>
        </is>
      </c>
      <c r="F38" t="n">
        <v>200</v>
      </c>
      <c r="G38" t="inlineStr">
        <is>
          <t>---</t>
        </is>
      </c>
      <c r="H38" t="inlineStr">
        <is>
          <t>MANDATE</t>
        </is>
      </c>
      <c r="I38" t="inlineStr">
        <is>
          <t>Formal Â£200 limit issued</t>
        </is>
      </c>
    </row>
    <row r="39">
      <c r="A39" s="47" t="n">
        <v>46359</v>
      </c>
      <c r="B39" t="inlineStr">
        <is>
          <t>BANK</t>
        </is>
      </c>
      <c r="C39" t="inlineStr">
        <is>
          <t>BREACH</t>
        </is>
      </c>
      <c r="D39" t="inlineStr">
        <is>
          <t>---</t>
        </is>
      </c>
      <c r="E39" t="inlineStr">
        <is>
          <t>---</t>
        </is>
      </c>
      <c r="F39" t="n">
        <v>300</v>
      </c>
      <c r="G39" t="inlineStr">
        <is>
          <t>---</t>
        </is>
      </c>
      <c r="H39" t="inlineStr">
        <is>
          <t>****</t>
        </is>
      </c>
      <c r="I39" t="inlineStr">
        <is>
          <t>Failed Â£300 vs Â£200 Cap</t>
        </is>
      </c>
    </row>
    <row r="40">
      <c r="A40" t="inlineStr">
        <is>
          <t>21/03/26</t>
        </is>
      </c>
      <c r="B40" t="inlineStr">
        <is>
          <t>CONNOR_A</t>
        </is>
      </c>
      <c r="C40" t="inlineStr">
        <is>
          <t>REF_MERGE</t>
        </is>
      </c>
      <c r="D40" t="inlineStr">
        <is>
          <t>---</t>
        </is>
      </c>
      <c r="E40" t="inlineStr">
        <is>
          <t>---</t>
        </is>
      </c>
      <c r="F40" t="n">
        <v>0</v>
      </c>
      <c r="G40" t="inlineStr">
        <is>
          <t>---</t>
        </is>
      </c>
      <c r="H40" t="inlineStr">
        <is>
          <t>//</t>
        </is>
      </c>
      <c r="I40" t="inlineStr">
        <is>
          <t>Ref #2043241 created</t>
        </is>
      </c>
    </row>
    <row r="41">
      <c r="A41" t="inlineStr">
        <is>
          <t>Date</t>
        </is>
      </c>
      <c r="B41" t="inlineStr">
        <is>
          <t>Ref</t>
        </is>
      </c>
      <c r="C41" t="inlineStr">
        <is>
          <t>Type</t>
        </is>
      </c>
      <c r="D41" t="inlineStr">
        <is>
          <t>Elec_Read</t>
        </is>
      </c>
      <c r="E41" t="inlineStr">
        <is>
          <t>Gas_Read</t>
        </is>
      </c>
      <c r="F41" t="inlineStr">
        <is>
          <t>Amount</t>
        </is>
      </c>
      <c r="G41" t="inlineStr">
        <is>
          <t>Balance</t>
        </is>
      </c>
      <c r="H41" t="inlineStr">
        <is>
          <t>Flag</t>
        </is>
      </c>
      <c r="I41" t="inlineStr">
        <is>
          <t>Notes</t>
        </is>
      </c>
    </row>
    <row r="42">
      <c r="A42" t="inlineStr">
        <is>
          <t>15/10/25</t>
        </is>
      </c>
      <c r="B42" t="inlineStr">
        <is>
          <t>OCT-102</t>
        </is>
      </c>
      <c r="C42" t="inlineStr">
        <is>
          <t>BILL</t>
        </is>
      </c>
      <c r="D42" t="n">
        <v>8650</v>
      </c>
      <c r="E42" t="n">
        <v>64800</v>
      </c>
      <c r="F42" t="n">
        <v>92.40000000000001</v>
      </c>
      <c r="G42" t="n">
        <v>-3235.31</v>
      </c>
      <c r="H42" t="inlineStr">
        <is>
          <t>MATCH</t>
        </is>
      </c>
      <c r="I42" s="47" t="n">
        <v>45931</v>
      </c>
    </row>
    <row r="43">
      <c r="A43" t="inlineStr">
        <is>
          <t>14/11/25</t>
        </is>
      </c>
      <c r="B43" t="inlineStr">
        <is>
          <t>OCT-104</t>
        </is>
      </c>
      <c r="C43" t="inlineStr">
        <is>
          <t>BILL</t>
        </is>
      </c>
      <c r="D43" t="n">
        <v>8800</v>
      </c>
      <c r="E43" t="n">
        <v>65200</v>
      </c>
      <c r="F43" t="n">
        <v>145.2</v>
      </c>
      <c r="G43" t="n">
        <v>-3380.51</v>
      </c>
      <c r="H43" t="inlineStr">
        <is>
          <t>MATCH</t>
        </is>
      </c>
      <c r="I43" s="47" t="n">
        <v>45962</v>
      </c>
    </row>
    <row r="44">
      <c r="A44" t="inlineStr">
        <is>
          <t>15/12/25</t>
        </is>
      </c>
      <c r="B44" t="inlineStr">
        <is>
          <t>OCT-106</t>
        </is>
      </c>
      <c r="C44" t="inlineStr">
        <is>
          <t>BILL</t>
        </is>
      </c>
      <c r="D44" t="n">
        <v>9000</v>
      </c>
      <c r="E44" t="n">
        <v>65800</v>
      </c>
      <c r="F44" t="n">
        <v>210.5</v>
      </c>
      <c r="G44" t="n">
        <v>-3591.01</v>
      </c>
      <c r="H44" t="inlineStr">
        <is>
          <t>MATCH</t>
        </is>
      </c>
      <c r="I44" s="47" t="n">
        <v>45992</v>
      </c>
    </row>
    <row r="45"/>
    <row r="46">
      <c r="A46" s="47" t="n">
        <v>46054</v>
      </c>
      <c r="B46" t="inlineStr">
        <is>
          <t>OCT-CORR</t>
        </is>
      </c>
      <c r="C46" t="inlineStr">
        <is>
          <t>ADJUST</t>
        </is>
      </c>
      <c r="D46" t="inlineStr">
        <is>
          <t>---</t>
        </is>
      </c>
      <c r="E46" t="inlineStr">
        <is>
          <t>---</t>
        </is>
      </c>
      <c r="F46" t="n">
        <v>245.3</v>
      </c>
      <c r="G46" t="n">
        <v>-3836.31</v>
      </c>
      <c r="H46" t="inlineStr">
        <is>
          <t>****</t>
        </is>
      </c>
      <c r="I46" t="inlineStr">
        <is>
          <t>Jan Adjustment Spike</t>
        </is>
      </c>
    </row>
    <row r="47">
      <c r="A47" t="inlineStr">
        <is>
          <t>15/01/26</t>
        </is>
      </c>
      <c r="B47" t="inlineStr">
        <is>
          <t>OCT-108</t>
        </is>
      </c>
      <c r="C47" t="inlineStr">
        <is>
          <t>BILL</t>
        </is>
      </c>
      <c r="D47" t="n">
        <v>9200</v>
      </c>
      <c r="E47" t="n">
        <v>66400</v>
      </c>
      <c r="F47" t="n">
        <v>185.3</v>
      </c>
      <c r="G47" t="n">
        <v>-4021.61</v>
      </c>
      <c r="H47" t="inlineStr">
        <is>
          <t>//</t>
        </is>
      </c>
      <c r="I47" t="inlineStr">
        <is>
          <t>Jan 2026 Est</t>
        </is>
      </c>
    </row>
    <row r="48">
      <c r="A48" t="inlineStr">
        <is>
          <t>28/01/26</t>
        </is>
      </c>
      <c r="B48" t="inlineStr">
        <is>
          <t>EMAIL</t>
        </is>
      </c>
      <c r="C48" t="inlineStr">
        <is>
          <t>DISPUTE</t>
        </is>
      </c>
      <c r="D48" t="inlineStr">
        <is>
          <t>---</t>
        </is>
      </c>
      <c r="E48" t="inlineStr">
        <is>
          <t>---</t>
        </is>
      </c>
      <c r="F48" t="n">
        <v>0</v>
      </c>
      <c r="G48" t="n">
        <v>-4021.61</v>
      </c>
      <c r="H48" t="inlineStr">
        <is>
          <t>LOG</t>
        </is>
      </c>
      <c r="I48" t="inlineStr">
        <is>
          <t>Octo.2026.3.1 Raised</t>
        </is>
      </c>
    </row>
    <row r="49">
      <c r="A49" t="inlineStr">
        <is>
          <t>14/02/26</t>
        </is>
      </c>
      <c r="B49" t="inlineStr">
        <is>
          <t>OCT-110</t>
        </is>
      </c>
      <c r="C49" t="inlineStr">
        <is>
          <t>BILL</t>
        </is>
      </c>
      <c r="D49" t="n">
        <v>9350</v>
      </c>
      <c r="E49" t="n">
        <v>67100</v>
      </c>
      <c r="F49" t="n">
        <v>192.4</v>
      </c>
      <c r="G49" t="n">
        <v>-4214.01</v>
      </c>
      <c r="H49" t="inlineStr">
        <is>
          <t>MATCH</t>
        </is>
      </c>
      <c r="I49" s="47" t="n">
        <v>46054</v>
      </c>
    </row>
    <row r="50">
      <c r="A50" t="inlineStr">
        <is>
          <t>26/02/26</t>
        </is>
      </c>
      <c r="B50" t="inlineStr">
        <is>
          <t>EMAIL</t>
        </is>
      </c>
      <c r="C50" t="inlineStr">
        <is>
          <t>NOTICE</t>
        </is>
      </c>
      <c r="D50" t="inlineStr">
        <is>
          <t>---</t>
        </is>
      </c>
      <c r="E50" t="inlineStr">
        <is>
          <t>---</t>
        </is>
      </c>
      <c r="F50" t="n">
        <v>0</v>
      </c>
      <c r="G50" t="n">
        <v>-4214.01</v>
      </c>
      <c r="H50" t="inlineStr">
        <is>
          <t>LOG</t>
        </is>
      </c>
      <c r="I50" t="inlineStr">
        <is>
          <t>Formal Â£200 Cap Sent</t>
        </is>
      </c>
    </row>
    <row r="51">
      <c r="A51" t="inlineStr">
        <is>
          <t>27/02/26</t>
        </is>
      </c>
      <c r="B51" t="inlineStr">
        <is>
          <t>NOTICE</t>
        </is>
      </c>
      <c r="C51" t="inlineStr">
        <is>
          <t>CAP</t>
        </is>
      </c>
      <c r="D51" t="inlineStr">
        <is>
          <t>---</t>
        </is>
      </c>
      <c r="E51" t="inlineStr">
        <is>
          <t>---</t>
        </is>
      </c>
      <c r="F51" t="n">
        <v>200</v>
      </c>
      <c r="G51" t="inlineStr">
        <is>
          <t>---</t>
        </is>
      </c>
      <c r="H51" t="inlineStr">
        <is>
          <t>MANDATE</t>
        </is>
      </c>
      <c r="I51" t="inlineStr">
        <is>
          <t>System cap applied</t>
        </is>
      </c>
    </row>
    <row r="52">
      <c r="A52" s="47" t="n">
        <v>46025</v>
      </c>
      <c r="B52" t="inlineStr">
        <is>
          <t>OCT-112</t>
        </is>
      </c>
      <c r="C52" t="inlineStr">
        <is>
          <t>BILL</t>
        </is>
      </c>
      <c r="D52" t="n">
        <v>9450</v>
      </c>
      <c r="E52" t="n">
        <v>67600</v>
      </c>
      <c r="F52" t="n">
        <v>120.5</v>
      </c>
      <c r="G52" t="n">
        <v>-4334.51</v>
      </c>
      <c r="H52" t="inlineStr">
        <is>
          <t>MATCH</t>
        </is>
      </c>
      <c r="I52" s="47" t="n">
        <v>46082</v>
      </c>
    </row>
    <row r="53">
      <c r="A53" s="47" t="n">
        <v>46145</v>
      </c>
      <c r="B53" t="inlineStr">
        <is>
          <t>EMAIL</t>
        </is>
      </c>
      <c r="C53" t="inlineStr">
        <is>
          <t>REJECT</t>
        </is>
      </c>
      <c r="D53" t="inlineStr">
        <is>
          <t>---</t>
        </is>
      </c>
      <c r="E53" t="inlineStr">
        <is>
          <t>---</t>
        </is>
      </c>
      <c r="F53" t="n">
        <v>0</v>
      </c>
      <c r="G53" t="n">
        <v>-4334.51</v>
      </c>
      <c r="H53" t="inlineStr">
        <is>
          <t>LOG</t>
        </is>
      </c>
      <c r="I53" t="inlineStr">
        <is>
          <t>Octo.2026.3.2 Rejected</t>
        </is>
      </c>
    </row>
    <row r="54">
      <c r="A54" s="47" t="n">
        <v>46298</v>
      </c>
      <c r="B54" t="inlineStr">
        <is>
          <t>EMAIL</t>
        </is>
      </c>
      <c r="C54" t="inlineStr">
        <is>
          <t>WARN</t>
        </is>
      </c>
      <c r="D54" t="inlineStr">
        <is>
          <t>---</t>
        </is>
      </c>
      <c r="E54" t="inlineStr">
        <is>
          <t>---</t>
        </is>
      </c>
      <c r="F54" t="n">
        <v>0</v>
      </c>
      <c r="G54" t="n">
        <v>-4334.51</v>
      </c>
      <c r="H54" t="inlineStr">
        <is>
          <t>LOG</t>
        </is>
      </c>
      <c r="I54" t="inlineStr">
        <is>
          <t>Debt collection warning</t>
        </is>
      </c>
    </row>
    <row r="55">
      <c r="A55" s="47" t="n">
        <v>46359</v>
      </c>
      <c r="B55" t="inlineStr">
        <is>
          <t>BANK</t>
        </is>
      </c>
      <c r="C55" t="inlineStr">
        <is>
          <t>BREACH</t>
        </is>
      </c>
      <c r="D55" t="inlineStr">
        <is>
          <t>---</t>
        </is>
      </c>
      <c r="E55" t="inlineStr">
        <is>
          <t>---</t>
        </is>
      </c>
      <c r="F55" t="n">
        <v>300</v>
      </c>
      <c r="G55" t="n">
        <v>-4034.51</v>
      </c>
      <c r="H55" t="inlineStr">
        <is>
          <t>****</t>
        </is>
      </c>
      <c r="I55" t="inlineStr">
        <is>
          <t>UNAUTH Â£300 TAKEN</t>
        </is>
      </c>
    </row>
    <row r="56">
      <c r="A56" t="inlineStr">
        <is>
          <t>13/03/26</t>
        </is>
      </c>
      <c r="B56" t="inlineStr">
        <is>
          <t>BANK</t>
        </is>
      </c>
      <c r="C56" t="inlineStr">
        <is>
          <t>REVERSE</t>
        </is>
      </c>
      <c r="D56" t="inlineStr">
        <is>
          <t>---</t>
        </is>
      </c>
      <c r="E56" t="inlineStr">
        <is>
          <t>---</t>
        </is>
      </c>
      <c r="F56" t="n">
        <v>-300</v>
      </c>
      <c r="G56" t="n">
        <v>-4334.51</v>
      </c>
      <c r="H56" t="inlineStr">
        <is>
          <t>LOG</t>
        </is>
      </c>
      <c r="I56" t="inlineStr">
        <is>
          <t>Indemnity Claim Success</t>
        </is>
      </c>
    </row>
    <row r="57">
      <c r="A57" t="inlineStr">
        <is>
          <t>15/03/26</t>
        </is>
      </c>
      <c r="B57" t="inlineStr">
        <is>
          <t>EMAIL</t>
        </is>
      </c>
      <c r="C57" t="inlineStr">
        <is>
          <t>COMPL</t>
        </is>
      </c>
      <c r="D57" t="inlineStr">
        <is>
          <t>---</t>
        </is>
      </c>
      <c r="E57" t="inlineStr">
        <is>
          <t>---</t>
        </is>
      </c>
      <c r="F57" t="n">
        <v>0</v>
      </c>
      <c r="G57" t="n">
        <v>-4334.51</v>
      </c>
      <c r="H57" t="inlineStr">
        <is>
          <t>LOG</t>
        </is>
      </c>
      <c r="I57" t="inlineStr">
        <is>
          <t>Octo.2026.3.3 Raised</t>
        </is>
      </c>
    </row>
    <row r="58">
      <c r="A58" t="inlineStr">
        <is>
          <t>18/03/26</t>
        </is>
      </c>
      <c r="B58" t="inlineStr">
        <is>
          <t>EMAIL</t>
        </is>
      </c>
      <c r="C58" t="inlineStr">
        <is>
          <t>CONNOR</t>
        </is>
      </c>
      <c r="D58" t="inlineStr">
        <is>
          <t>---</t>
        </is>
      </c>
      <c r="E58" t="inlineStr">
        <is>
          <t>---</t>
        </is>
      </c>
      <c r="F58" t="n">
        <v>0</v>
      </c>
      <c r="G58" t="n">
        <v>-4334.51</v>
      </c>
      <c r="H58" t="inlineStr">
        <is>
          <t>LOG</t>
        </is>
      </c>
      <c r="I58" t="inlineStr">
        <is>
          <t>Ref #2043241 Assigned</t>
        </is>
      </c>
    </row>
    <row r="59">
      <c r="A59" t="inlineStr">
        <is>
          <t>19/03/26</t>
        </is>
      </c>
      <c r="B59" t="inlineStr">
        <is>
          <t>EMAIL</t>
        </is>
      </c>
      <c r="C59" t="inlineStr">
        <is>
          <t>REPLY</t>
        </is>
      </c>
      <c r="D59" t="inlineStr">
        <is>
          <t>---</t>
        </is>
      </c>
      <c r="E59" t="inlineStr">
        <is>
          <t>---</t>
        </is>
      </c>
      <c r="F59" t="n">
        <v>0</v>
      </c>
      <c r="G59" t="n">
        <v>-4334.51</v>
      </c>
      <c r="H59" t="inlineStr">
        <is>
          <t>LOG</t>
        </is>
      </c>
      <c r="I59" t="inlineStr">
        <is>
          <t>Rejecting consolidation</t>
        </is>
      </c>
    </row>
    <row r="60">
      <c r="A60" t="inlineStr">
        <is>
          <t>20/03/26</t>
        </is>
      </c>
      <c r="B60" t="inlineStr">
        <is>
          <t>EMAIL</t>
        </is>
      </c>
      <c r="C60" t="inlineStr">
        <is>
          <t>ADMIN</t>
        </is>
      </c>
      <c r="D60" t="inlineStr">
        <is>
          <t>---</t>
        </is>
      </c>
      <c r="E60" t="inlineStr">
        <is>
          <t>---</t>
        </is>
      </c>
      <c r="F60" t="n">
        <v>260</v>
      </c>
      <c r="G60" t="n">
        <v>-4074.51</v>
      </c>
      <c r="H60" t="inlineStr">
        <is>
          <t>CLAIM</t>
        </is>
      </c>
      <c r="I60" t="inlineStr">
        <is>
          <t>13hrs @ Â£20/hr added</t>
        </is>
      </c>
    </row>
    <row r="61">
      <c r="A61" t="inlineStr">
        <is>
          <t>21/03/26</t>
        </is>
      </c>
      <c r="B61" t="inlineStr">
        <is>
          <t>EMAIL</t>
        </is>
      </c>
      <c r="C61" t="inlineStr">
        <is>
          <t>P01-P06</t>
        </is>
      </c>
      <c r="D61" t="inlineStr">
        <is>
          <t>---</t>
        </is>
      </c>
      <c r="E61" t="inlineStr">
        <is>
          <t>---</t>
        </is>
      </c>
      <c r="F61" t="n">
        <v>0</v>
      </c>
      <c r="G61" t="n">
        <v>-4074.51</v>
      </c>
      <c r="H61" t="inlineStr">
        <is>
          <t>LOG</t>
        </is>
      </c>
      <c r="I61" t="inlineStr">
        <is>
          <t>Structure Re-asserted</t>
        </is>
      </c>
    </row>
    <row r="62">
      <c r="A62" t="inlineStr">
        <is>
          <t>22/03/26</t>
        </is>
      </c>
      <c r="B62" t="inlineStr">
        <is>
          <t>STATUS</t>
        </is>
      </c>
      <c r="C62" t="inlineStr">
        <is>
          <t>AUDIT</t>
        </is>
      </c>
      <c r="D62" t="inlineStr">
        <is>
          <t>---</t>
        </is>
      </c>
      <c r="E62" t="inlineStr">
        <is>
          <t>---</t>
        </is>
      </c>
      <c r="F62" t="n">
        <v>0</v>
      </c>
      <c r="G62" t="n">
        <v>-4074.51</v>
      </c>
      <c r="H62" t="inlineStr">
        <is>
          <t>DONE</t>
        </is>
      </c>
      <c r="I62" t="inlineStr">
        <is>
          <t>Master Audit Compiled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2026-03-28T08:03:49Z</dcterms:created>
  <dcterms:modified xmlns:dcterms="http://purl.org/dc/terms/" xmlns:xsi="http://www.w3.org/2001/XMLSchema-instance" xsi:type="dcterms:W3CDTF">2026-03-28T08:44:31Z</dcterms:modified>
</cp:coreProperties>
</file>