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1F0CF1F6DBC8A85760D02ED964271EEC8234416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4" i="1"/>
  <c r="D9" i="1"/>
</calcChain>
</file>

<file path=xl/sharedStrings.xml><?xml version="1.0" encoding="utf-8"?>
<sst xmlns="http://schemas.openxmlformats.org/spreadsheetml/2006/main" count="113" uniqueCount="64">
  <si>
    <t>BILL_TOTAL_GBP</t>
  </si>
  <si>
    <t>OPEN_BAL_GBP</t>
  </si>
  <si>
    <t>RUN_BAL_BILL_GBP</t>
  </si>
  <si>
    <t>RUN_BAL_EXPECTED_GBP</t>
  </si>
  <si>
    <t>BILL_DATE</t>
  </si>
  <si>
    <t>XREF</t>
  </si>
  <si>
    <t>ROW_TYPE</t>
  </si>
  <si>
    <t>READ_FROM</t>
  </si>
  <si>
    <t>READ_TO</t>
  </si>
  <si>
    <t>KWH</t>
  </si>
  <si>
    <t>KWH_PER_DAY</t>
  </si>
  <si>
    <t>UNIT_RATE_P_KWH</t>
  </si>
  <si>
    <t>STANDING_P_DAY</t>
  </si>
  <si>
    <t>DAYS</t>
  </si>
  <si>
    <t>COST_PER_DAY_GBP</t>
  </si>
  <si>
    <t>DD_GBP</t>
  </si>
  <si>
    <t>ADJ_GBP</t>
  </si>
  <si>
    <t>GAS_GBP</t>
  </si>
  <si>
    <t>ELEC_GBP</t>
  </si>
  <si>
    <t>TAG</t>
  </si>
  <si>
    <t>SHORT_NOTE</t>
  </si>
  <si>
    <t>LONG_NOTE</t>
  </si>
  <si>
    <t>2021-09-29</t>
  </si>
  <si>
    <t>2021-09-29_AVRO</t>
  </si>
  <si>
    <t>BILL_HDR</t>
  </si>
  <si>
    <t>#disputed-input</t>
  </si>
  <si>
    <t>Avro final bill header</t>
  </si>
  <si>
    <t>Use Octopus/Avro handover figure as pass-1 opening input only.</t>
  </si>
  <si>
    <t>AVRO_INPUT</t>
  </si>
  <si>
    <t>Opening disputed input</t>
  </si>
  <si>
    <t>Red Alert To Be Investigated. Avro final balance £1,124.93 Debit. Previous balance -768.66; new charges 87.24; payments received -269.03.</t>
  </si>
  <si>
    <t>2022-07-26</t>
  </si>
  <si>
    <t>Headline bill</t>
  </si>
  <si>
    <t>Your energy account 27 Jun 2022 - 26 Jul 2022.</t>
  </si>
  <si>
    <t>DD</t>
  </si>
  <si>
    <t>Direct Debit</t>
  </si>
  <si>
    <t>Direct Debit collection 5 Jul 2022 +180.00</t>
  </si>
  <si>
    <t>ELEC_SEC</t>
  </si>
  <si>
    <t>Electricity charges</t>
  </si>
  <si>
    <t>314.7 kWh @ 27.10p/kWh; standing 30 days @ 41.07p/day; Loyal Octopus -3.95; total elec 98.33</t>
  </si>
  <si>
    <t>AVRO_NOTE</t>
  </si>
  <si>
    <t>Avro repayment note</t>
  </si>
  <si>
    <t>Separate Avro repayment page says remaining to pay 1124.93; no debt repayments made this period.</t>
  </si>
  <si>
    <t>BILL_CHECK</t>
  </si>
  <si>
    <t>Check row</t>
  </si>
  <si>
    <t>Expected running balance should reconcile to bill new balance.</t>
  </si>
  <si>
    <t>2022-07-27</t>
  </si>
  <si>
    <t>#headline-charge-range-mismatch</t>
  </si>
  <si>
    <t>Single-day headline</t>
  </si>
  <si>
    <t>Headline period is one day, but detailed gas charges run from 29 Mar 2022 to 25 Jul 2022.</t>
  </si>
  <si>
    <t>GAS_SEC</t>
  </si>
  <si>
    <t>#charge-period-buried</t>
  </si>
  <si>
    <t>Historic gas section</t>
  </si>
  <si>
    <t>Estimated gas 29 Mar 2022 - 1 Apr 2022; total gas charges 16.09</t>
  </si>
  <si>
    <t>Large gas catch-up</t>
  </si>
  <si>
    <t>Estimated gas 2 Apr 2022 - 25 Jul 2022; total gas charges 401.43</t>
  </si>
  <si>
    <t>Separate Avro repayment page says no debt repayments made; remaining to pay 1124.93.</t>
  </si>
  <si>
    <t>#gas-catchup-bill</t>
  </si>
  <si>
    <t>Gas catch-up bill</t>
  </si>
  <si>
    <t>Gas catch-up bill presented as 1-day statement.</t>
  </si>
  <si>
    <t>2022-08-26</t>
  </si>
  <si>
    <t>Your energy account 28 Jul 2022 - 26 Aug 2022.</t>
  </si>
  <si>
    <t>Direct Debit collection 5 Aug 2022 +180.00</t>
  </si>
  <si>
    <t>313.9 kWh @ 27.10p/kWh; standing 31 days @ 41.07p/day; Loyal Octopus -4.08; total elec 98.40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</si>
</sst>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sz val="7"/>
      <name val="Calibri"/>
    </font>
    <font>
      <sz val="12"/>
      <color rgb="FF002060"/>
      <name val="Calibri"/>
    </font>
    <font>
      <sz val="12"/>
      <color rgb="FF00206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right" vertical="top" textRotation="255" wrapText="1" readingOrder="1"/>
    </xf>
    <xf numFmtId="0" fontId="3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"/>
  <sheetViews>
    <sheetView tabSelected="1" topLeftCell="E1" workbookViewId="0">
      <selection activeCell="F1" sqref="A1:XFD1"/>
    </sheetView>
  </sheetViews>
  <sheetFormatPr defaultColWidth="14.390625" defaultRowHeight="15" customHeight="1" x14ac:dyDescent="0.2"/>
  <cols>
    <col min="1" max="19" width="8.7421875" customWidth="1"/>
    <col min="20" max="21" width="13.44921875" customWidth="1"/>
    <col min="22" max="22" width="41.296875" customWidth="1"/>
  </cols>
  <sheetData>
    <row r="1" spans="1:22" s="3" customFormat="1" ht="22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">
      <c r="A2" s="1">
        <v>87.24</v>
      </c>
      <c r="B2" s="1"/>
      <c r="C2" s="1">
        <v>1124.93</v>
      </c>
      <c r="D2" s="1"/>
      <c r="E2" s="1" t="s">
        <v>22</v>
      </c>
      <c r="F2" s="1" t="s">
        <v>23</v>
      </c>
      <c r="G2" s="1" t="s">
        <v>24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25</v>
      </c>
      <c r="U2" s="1" t="s">
        <v>26</v>
      </c>
      <c r="V2" s="1" t="s">
        <v>27</v>
      </c>
    </row>
    <row r="3" spans="1:22" x14ac:dyDescent="0.2">
      <c r="A3" s="1">
        <v>1124.93</v>
      </c>
      <c r="B3" s="1"/>
      <c r="C3" s="1">
        <v>1124.93</v>
      </c>
      <c r="D3" s="1"/>
      <c r="E3" s="1" t="s">
        <v>22</v>
      </c>
      <c r="F3" s="1" t="s">
        <v>23</v>
      </c>
      <c r="G3" s="1" t="s">
        <v>28</v>
      </c>
      <c r="H3" s="1"/>
      <c r="I3" s="1"/>
      <c r="J3" s="1"/>
      <c r="K3" s="1"/>
      <c r="L3" s="1"/>
      <c r="M3" s="1"/>
      <c r="N3" s="1"/>
      <c r="O3" s="1"/>
      <c r="P3" s="1"/>
      <c r="Q3" s="1">
        <v>1124.93</v>
      </c>
      <c r="R3" s="1"/>
      <c r="S3" s="1"/>
      <c r="T3" s="1" t="s">
        <v>25</v>
      </c>
      <c r="U3" s="1" t="s">
        <v>29</v>
      </c>
      <c r="V3" s="1" t="s">
        <v>30</v>
      </c>
    </row>
    <row r="4" spans="1:2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">
      <c r="A5" s="1">
        <v>98.33</v>
      </c>
      <c r="B5" s="1">
        <v>-1288.55</v>
      </c>
      <c r="C5" s="1">
        <v>-1206.8800000000001</v>
      </c>
      <c r="D5" s="1"/>
      <c r="E5" s="1" t="s">
        <v>31</v>
      </c>
      <c r="F5" s="1" t="s">
        <v>31</v>
      </c>
      <c r="G5" s="1" t="s">
        <v>24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 t="s">
        <v>32</v>
      </c>
      <c r="V5" s="1" t="s">
        <v>33</v>
      </c>
    </row>
    <row r="6" spans="1:22" x14ac:dyDescent="0.2">
      <c r="A6" s="1"/>
      <c r="B6" s="1">
        <v>-1288.55</v>
      </c>
      <c r="C6" s="1"/>
      <c r="D6" s="1">
        <v>-1108.55</v>
      </c>
      <c r="E6" s="1" t="s">
        <v>31</v>
      </c>
      <c r="F6" s="1" t="s">
        <v>31</v>
      </c>
      <c r="G6" s="1" t="s">
        <v>34</v>
      </c>
      <c r="H6" s="1"/>
      <c r="I6" s="1"/>
      <c r="J6" s="1"/>
      <c r="K6" s="1"/>
      <c r="L6" s="1"/>
      <c r="M6" s="1"/>
      <c r="N6" s="1"/>
      <c r="O6" s="1"/>
      <c r="P6" s="1">
        <v>180</v>
      </c>
      <c r="Q6" s="1"/>
      <c r="R6" s="1"/>
      <c r="S6" s="1"/>
      <c r="T6" s="1"/>
      <c r="U6" s="1" t="s">
        <v>35</v>
      </c>
      <c r="V6" s="1" t="s">
        <v>36</v>
      </c>
    </row>
    <row r="7" spans="1:22" x14ac:dyDescent="0.2">
      <c r="A7" s="1"/>
      <c r="B7" s="1"/>
      <c r="C7" s="1"/>
      <c r="D7" s="1"/>
      <c r="E7" s="1" t="s">
        <v>31</v>
      </c>
      <c r="F7" s="1" t="s">
        <v>31</v>
      </c>
      <c r="G7" s="1" t="s">
        <v>37</v>
      </c>
      <c r="H7" s="1"/>
      <c r="I7" s="1"/>
      <c r="J7" s="1">
        <v>314.7</v>
      </c>
      <c r="K7" s="1"/>
      <c r="L7" s="1">
        <v>27.1</v>
      </c>
      <c r="M7" s="1">
        <v>41.07</v>
      </c>
      <c r="N7" s="1">
        <v>30</v>
      </c>
      <c r="O7" s="1"/>
      <c r="P7" s="1"/>
      <c r="Q7" s="1"/>
      <c r="R7" s="1"/>
      <c r="S7" s="1">
        <v>98.33</v>
      </c>
      <c r="T7" s="1"/>
      <c r="U7" s="1" t="s">
        <v>38</v>
      </c>
      <c r="V7" s="1" t="s">
        <v>39</v>
      </c>
    </row>
    <row r="8" spans="1:22" x14ac:dyDescent="0.2">
      <c r="A8" s="1"/>
      <c r="B8" s="1"/>
      <c r="C8" s="1">
        <v>1124.93</v>
      </c>
      <c r="D8" s="1"/>
      <c r="E8" s="1" t="s">
        <v>31</v>
      </c>
      <c r="F8" s="1" t="s">
        <v>31</v>
      </c>
      <c r="G8" s="1" t="s">
        <v>40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 t="s">
        <v>41</v>
      </c>
      <c r="V8" s="1" t="s">
        <v>42</v>
      </c>
    </row>
    <row r="9" spans="1:22" x14ac:dyDescent="0.2">
      <c r="A9" s="1">
        <v>98.33</v>
      </c>
      <c r="B9" s="1">
        <v>-1288.55</v>
      </c>
      <c r="C9" s="1">
        <v>-1206.8800000000001</v>
      </c>
      <c r="D9" s="1">
        <f>T8+SUM(U5:U7)</f>
        <v>0</v>
      </c>
      <c r="E9" s="1" t="s">
        <v>31</v>
      </c>
      <c r="F9" s="1" t="s">
        <v>31</v>
      </c>
      <c r="G9" s="1" t="s">
        <v>43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 t="s">
        <v>44</v>
      </c>
      <c r="V9" s="1" t="s">
        <v>45</v>
      </c>
    </row>
    <row r="10" spans="1:22" x14ac:dyDescent="0.2">
      <c r="A10" s="1">
        <v>417.52</v>
      </c>
      <c r="B10" s="1">
        <v>-1206.8800000000001</v>
      </c>
      <c r="C10" s="1">
        <v>-1624.4</v>
      </c>
      <c r="D10" s="1"/>
      <c r="E10" s="1" t="s">
        <v>46</v>
      </c>
      <c r="F10" s="1" t="s">
        <v>46</v>
      </c>
      <c r="G10" s="1" t="s">
        <v>24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47</v>
      </c>
      <c r="U10" s="1" t="s">
        <v>48</v>
      </c>
      <c r="V10" s="1" t="s">
        <v>49</v>
      </c>
    </row>
    <row r="11" spans="1:22" x14ac:dyDescent="0.2">
      <c r="A11" s="1"/>
      <c r="B11" s="1"/>
      <c r="C11" s="1"/>
      <c r="D11" s="1"/>
      <c r="E11" s="1" t="s">
        <v>46</v>
      </c>
      <c r="F11" s="1" t="s">
        <v>46</v>
      </c>
      <c r="G11" s="1" t="s">
        <v>50</v>
      </c>
      <c r="H11" s="1"/>
      <c r="I11" s="1"/>
      <c r="J11" s="1">
        <v>364.7</v>
      </c>
      <c r="K11" s="1"/>
      <c r="L11" s="1">
        <v>3.93</v>
      </c>
      <c r="M11" s="1">
        <v>24.87</v>
      </c>
      <c r="N11" s="1">
        <v>4</v>
      </c>
      <c r="O11" s="1"/>
      <c r="P11" s="1"/>
      <c r="Q11" s="1"/>
      <c r="R11" s="1">
        <v>16.09</v>
      </c>
      <c r="S11" s="1"/>
      <c r="T11" s="1" t="s">
        <v>51</v>
      </c>
      <c r="U11" s="1" t="s">
        <v>52</v>
      </c>
      <c r="V11" s="1" t="s">
        <v>53</v>
      </c>
    </row>
    <row r="12" spans="1:22" x14ac:dyDescent="0.2">
      <c r="A12" s="1"/>
      <c r="B12" s="1"/>
      <c r="C12" s="1"/>
      <c r="D12" s="1"/>
      <c r="E12" s="1" t="s">
        <v>46</v>
      </c>
      <c r="F12" s="1" t="s">
        <v>46</v>
      </c>
      <c r="G12" s="1" t="s">
        <v>50</v>
      </c>
      <c r="H12" s="1"/>
      <c r="I12" s="1"/>
      <c r="J12" s="1">
        <v>4950.8</v>
      </c>
      <c r="K12" s="1"/>
      <c r="L12" s="1">
        <v>7.12</v>
      </c>
      <c r="M12" s="1">
        <v>25.92</v>
      </c>
      <c r="N12" s="1">
        <v>115</v>
      </c>
      <c r="O12" s="1"/>
      <c r="P12" s="1"/>
      <c r="Q12" s="1"/>
      <c r="R12" s="1">
        <v>401.43</v>
      </c>
      <c r="S12" s="1"/>
      <c r="T12" s="1" t="s">
        <v>51</v>
      </c>
      <c r="U12" s="1" t="s">
        <v>54</v>
      </c>
      <c r="V12" s="1" t="s">
        <v>55</v>
      </c>
    </row>
    <row r="13" spans="1:22" x14ac:dyDescent="0.2">
      <c r="A13" s="1"/>
      <c r="B13" s="1"/>
      <c r="C13" s="1">
        <v>1124.93</v>
      </c>
      <c r="D13" s="1"/>
      <c r="E13" s="1" t="s">
        <v>46</v>
      </c>
      <c r="F13" s="1" t="s">
        <v>46</v>
      </c>
      <c r="G13" s="1" t="s">
        <v>40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 t="s">
        <v>41</v>
      </c>
      <c r="V13" s="1" t="s">
        <v>56</v>
      </c>
    </row>
    <row r="14" spans="1:22" x14ac:dyDescent="0.2">
      <c r="A14" s="1">
        <v>417.52</v>
      </c>
      <c r="B14" s="1">
        <v>-1206.8800000000001</v>
      </c>
      <c r="C14" s="1">
        <v>-1624.4</v>
      </c>
      <c r="D14" s="1">
        <f>T13+SUM(U10:U12)</f>
        <v>0</v>
      </c>
      <c r="E14" s="1" t="s">
        <v>46</v>
      </c>
      <c r="F14" s="1" t="s">
        <v>46</v>
      </c>
      <c r="G14" s="1" t="s">
        <v>43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57</v>
      </c>
      <c r="U14" s="1" t="s">
        <v>58</v>
      </c>
      <c r="V14" s="1" t="s">
        <v>59</v>
      </c>
    </row>
    <row r="15" spans="1:2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s="1">
        <v>98.4</v>
      </c>
      <c r="B16" s="1">
        <v>-1624.4</v>
      </c>
      <c r="C16" s="1">
        <v>-1542.8</v>
      </c>
      <c r="D16" s="1"/>
      <c r="E16" s="1" t="s">
        <v>60</v>
      </c>
      <c r="F16" s="1" t="s">
        <v>60</v>
      </c>
      <c r="G16" s="1" t="s">
        <v>24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">
        <v>32</v>
      </c>
      <c r="V16" s="1" t="s">
        <v>61</v>
      </c>
    </row>
    <row r="17" spans="1:22" x14ac:dyDescent="0.2">
      <c r="A17" s="1"/>
      <c r="B17" s="1">
        <v>-1624.4</v>
      </c>
      <c r="C17" s="1"/>
      <c r="D17" s="1">
        <v>-1444.4</v>
      </c>
      <c r="E17" s="1" t="s">
        <v>60</v>
      </c>
      <c r="F17" s="1" t="s">
        <v>60</v>
      </c>
      <c r="G17" s="1" t="s">
        <v>34</v>
      </c>
      <c r="H17" s="1"/>
      <c r="I17" s="1"/>
      <c r="J17" s="1"/>
      <c r="K17" s="1"/>
      <c r="L17" s="1"/>
      <c r="M17" s="1"/>
      <c r="N17" s="1"/>
      <c r="O17" s="1"/>
      <c r="P17" s="1">
        <v>180</v>
      </c>
      <c r="Q17" s="1"/>
      <c r="R17" s="1"/>
      <c r="S17" s="1"/>
      <c r="T17" s="1"/>
      <c r="U17" s="1" t="s">
        <v>35</v>
      </c>
      <c r="V17" s="1" t="s">
        <v>62</v>
      </c>
    </row>
    <row r="18" spans="1:22" x14ac:dyDescent="0.2">
      <c r="A18" s="1"/>
      <c r="B18" s="1"/>
      <c r="C18" s="1"/>
      <c r="D18" s="1"/>
      <c r="E18" s="1" t="s">
        <v>60</v>
      </c>
      <c r="F18" s="1" t="s">
        <v>60</v>
      </c>
      <c r="G18" s="1" t="s">
        <v>37</v>
      </c>
      <c r="H18" s="1"/>
      <c r="I18" s="1"/>
      <c r="J18" s="1">
        <v>313.89999999999998</v>
      </c>
      <c r="K18" s="1"/>
      <c r="L18" s="1">
        <v>27.1</v>
      </c>
      <c r="M18" s="1">
        <v>41.07</v>
      </c>
      <c r="N18" s="1">
        <v>31</v>
      </c>
      <c r="O18" s="1"/>
      <c r="P18" s="1"/>
      <c r="Q18" s="1"/>
      <c r="R18" s="1"/>
      <c r="S18" s="1">
        <v>98.4</v>
      </c>
      <c r="T18" s="1"/>
      <c r="U18" s="1" t="s">
        <v>38</v>
      </c>
      <c r="V18" s="1" t="s">
        <v>63</v>
      </c>
    </row>
    <row r="19" spans="1:22" x14ac:dyDescent="0.2">
      <c r="A19" s="1"/>
      <c r="B19" s="1"/>
      <c r="C19" s="1">
        <v>1124.93</v>
      </c>
      <c r="D19" s="1"/>
      <c r="E19" s="1" t="s">
        <v>60</v>
      </c>
      <c r="F19" s="1" t="s">
        <v>60</v>
      </c>
      <c r="G19" s="1" t="s">
        <v>40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s">
        <v>41</v>
      </c>
      <c r="V19" s="1" t="s">
        <v>56</v>
      </c>
    </row>
    <row r="20" spans="1:22" x14ac:dyDescent="0.2">
      <c r="A20" s="1">
        <v>98.4</v>
      </c>
      <c r="B20" s="1">
        <v>-1624.4</v>
      </c>
      <c r="C20" s="1">
        <v>-1542.8</v>
      </c>
      <c r="D20" s="1">
        <f>T19+SUM(U16:U18)</f>
        <v>0</v>
      </c>
      <c r="E20" s="1" t="s">
        <v>60</v>
      </c>
      <c r="F20" s="1" t="s">
        <v>60</v>
      </c>
      <c r="G20" s="1" t="s">
        <v>43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s">
        <v>44</v>
      </c>
      <c r="V20" s="1" t="s">
        <v>45</v>
      </c>
    </row>
    <row r="21" spans="1:2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2026-04-02T02:26:24Z</dcterms:created>
  <dcterms:modified xsi:type="dcterms:W3CDTF">2026-04-02T02:26:24Z</dcterms:modified>
</cp:coreProperties>
</file>