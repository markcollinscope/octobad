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XCHECK" sheetId="3" state="visible" r:id="rId3"/>
    <sheet xmlns:r="http://schemas.openxmlformats.org/officeDocument/2006/relationships" name="T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;[Red](£#,##0.00);-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2" fillId="3" borderId="0" pivotButton="0" quotePrefix="0" xfId="0"/>
    <xf numFmtId="2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2" fontId="0" fillId="5" borderId="0" pivotButton="0" quotePrefix="0" xfId="0"/>
    <xf numFmtId="164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1" customWidth="1" min="9" max="9"/>
    <col width="10" customWidth="1" min="10" max="10"/>
    <col width="10" customWidth="1" min="11" max="11"/>
    <col width="13" customWidth="1" min="12" max="12"/>
    <col width="13" customWidth="1" min="13" max="13"/>
    <col width="6" customWidth="1" min="14" max="14"/>
    <col width="11" customWidth="1" min="15" max="15"/>
    <col width="11" customWidth="1" min="16" max="16"/>
    <col width="11" customWidth="1" min="17" max="17"/>
    <col width="11" customWidth="1" min="18" max="18"/>
    <col width="13" customWidth="1" min="19" max="19"/>
    <col width="13" customWidth="1" min="20" max="20"/>
    <col width="13" customWidth="1" min="21" max="21"/>
    <col width="16" customWidth="1" min="22" max="22"/>
    <col width="15" customWidth="1" min="23" max="23"/>
    <col width="13" customWidth="1" min="24" max="24"/>
    <col width="30" customWidth="1" min="25" max="25"/>
    <col width="22" customWidth="1" min="26" max="26"/>
    <col width="60" customWidth="1" min="27" max="27"/>
  </cols>
  <sheetData>
    <row r="1">
      <c r="A1" s="1" t="inlineStr">
        <is>
          <t>XREF</t>
        </is>
      </c>
      <c r="B1" s="1" t="inlineStr">
        <is>
          <t>BILL_DATE</t>
        </is>
      </c>
      <c r="C1" s="1" t="inlineStr">
        <is>
          <t>ROW_TYPE</t>
        </is>
      </c>
      <c r="D1" s="1" t="inlineStr">
        <is>
          <t>HEADLINE_FROM</t>
        </is>
      </c>
      <c r="E1" s="1" t="inlineStr">
        <is>
          <t>HEADLINE_TO</t>
        </is>
      </c>
      <c r="F1" s="1" t="inlineStr">
        <is>
          <t>CHARGE_FROM</t>
        </is>
      </c>
      <c r="G1" s="1" t="inlineStr">
        <is>
          <t>CHARGE_TO</t>
        </is>
      </c>
      <c r="H1" s="1" t="inlineStr">
        <is>
          <t>FUEL</t>
        </is>
      </c>
      <c r="I1" s="1" t="inlineStr">
        <is>
          <t>READ_TYPE</t>
        </is>
      </c>
      <c r="J1" s="1" t="inlineStr">
        <is>
          <t>UNITS_M3</t>
        </is>
      </c>
      <c r="K1" s="1" t="inlineStr">
        <is>
          <t>KWH</t>
        </is>
      </c>
      <c r="L1" s="1" t="inlineStr">
        <is>
          <t>UNIT_RATE_P_KWH</t>
        </is>
      </c>
      <c r="M1" s="1" t="inlineStr">
        <is>
          <t>STANDING_P_DAY</t>
        </is>
      </c>
      <c r="N1" s="1" t="inlineStr">
        <is>
          <t>DAYS</t>
        </is>
      </c>
      <c r="O1" s="1" t="inlineStr">
        <is>
          <t>DD_GBP</t>
        </is>
      </c>
      <c r="P1" s="1" t="inlineStr">
        <is>
          <t>ADJ_GBP</t>
        </is>
      </c>
      <c r="Q1" s="1" t="inlineStr">
        <is>
          <t>GAS_GBP</t>
        </is>
      </c>
      <c r="R1" s="1" t="inlineStr">
        <is>
          <t>ELEC_GBP</t>
        </is>
      </c>
      <c r="S1" s="1" t="inlineStr">
        <is>
          <t>BILL_TOTAL_GBP</t>
        </is>
      </c>
      <c r="T1" s="1" t="inlineStr">
        <is>
          <t>OPEN_BAL_GBP</t>
        </is>
      </c>
      <c r="U1" s="1" t="inlineStr">
        <is>
          <t>LINE_IMPACT_GBP</t>
        </is>
      </c>
      <c r="V1" s="1" t="inlineStr">
        <is>
          <t>RUN_BAL_EXPECTED_GBP</t>
        </is>
      </c>
      <c r="W1" s="1" t="inlineStr">
        <is>
          <t>RUN_BAL_BILL_GBP</t>
        </is>
      </c>
      <c r="X1" s="1" t="inlineStr">
        <is>
          <t>RUN_BAL_VAR_GBP</t>
        </is>
      </c>
      <c r="Y1" s="1" t="inlineStr">
        <is>
          <t>TAG</t>
        </is>
      </c>
      <c r="Z1" s="1" t="inlineStr">
        <is>
          <t>SHORT_NOTE</t>
        </is>
      </c>
      <c r="AA1" s="1" t="inlineStr">
        <is>
          <t>LONG_NOTE</t>
        </is>
      </c>
    </row>
    <row r="2">
      <c r="A2" s="2" t="inlineStr">
        <is>
          <t>2021-09-29_AVRO</t>
        </is>
      </c>
      <c r="B2" s="2" t="inlineStr">
        <is>
          <t>2021-09-29</t>
        </is>
      </c>
      <c r="C2" s="2" t="inlineStr">
        <is>
          <t>BILL_HDR</t>
        </is>
      </c>
      <c r="D2" s="2" t="inlineStr">
        <is>
          <t>2021-08-28</t>
        </is>
      </c>
      <c r="E2" s="2" t="inlineStr">
        <is>
          <t>2021-09-26</t>
        </is>
      </c>
      <c r="F2" s="2" t="inlineStr"/>
      <c r="G2" s="2" t="inlineStr"/>
      <c r="H2" s="2" t="inlineStr">
        <is>
          <t>DUAL</t>
        </is>
      </c>
      <c r="I2" s="2" t="inlineStr"/>
      <c r="J2" s="3" t="n"/>
      <c r="K2" s="3" t="n"/>
      <c r="L2" s="4" t="n"/>
      <c r="M2" s="4" t="n"/>
      <c r="N2" s="3" t="n"/>
      <c r="O2" s="5" t="n"/>
      <c r="P2" s="5" t="n"/>
      <c r="Q2" s="5" t="n"/>
      <c r="R2" s="5" t="n"/>
      <c r="S2" s="5" t="n">
        <v>87.23999999999999</v>
      </c>
      <c r="T2" s="5" t="n"/>
      <c r="U2" s="5" t="n"/>
      <c r="V2" s="5" t="n"/>
      <c r="W2" s="5" t="n">
        <v>1124.93</v>
      </c>
      <c r="X2" s="5" t="n"/>
      <c r="Y2" s="6" t="inlineStr">
        <is>
          <t>#disputed-input</t>
        </is>
      </c>
      <c r="Z2" s="6" t="inlineStr">
        <is>
          <t>Avro final bill header</t>
        </is>
      </c>
      <c r="AA2" s="2" t="inlineStr">
        <is>
          <t>Use Octopus/Avro handover figure as pass-1 opening input only.</t>
        </is>
      </c>
    </row>
    <row r="3">
      <c r="A3" s="7" t="inlineStr">
        <is>
          <t>2021-09-29_AVRO</t>
        </is>
      </c>
      <c r="B3" s="7" t="inlineStr">
        <is>
          <t>2021-09-29</t>
        </is>
      </c>
      <c r="C3" s="7" t="inlineStr">
        <is>
          <t>AVRO_INPUT</t>
        </is>
      </c>
      <c r="D3" s="7" t="inlineStr"/>
      <c r="E3" s="7" t="inlineStr"/>
      <c r="F3" s="7" t="inlineStr"/>
      <c r="G3" s="7" t="inlineStr"/>
      <c r="H3" s="7" t="inlineStr">
        <is>
          <t>DUAL</t>
        </is>
      </c>
      <c r="I3" s="7" t="inlineStr"/>
      <c r="J3" s="8" t="n"/>
      <c r="K3" s="8" t="n"/>
      <c r="L3" s="9" t="n"/>
      <c r="M3" s="9" t="n"/>
      <c r="N3" s="8" t="n"/>
      <c r="O3" s="10" t="n"/>
      <c r="P3" s="10" t="n">
        <v>1124.93</v>
      </c>
      <c r="Q3" s="10" t="n"/>
      <c r="R3" s="10" t="n"/>
      <c r="S3" s="10" t="n">
        <v>1124.93</v>
      </c>
      <c r="T3" s="10" t="n"/>
      <c r="U3" s="10" t="n"/>
      <c r="V3" s="10" t="n"/>
      <c r="W3" s="10" t="n">
        <v>1124.93</v>
      </c>
      <c r="X3" s="10" t="n"/>
      <c r="Y3" s="6" t="inlineStr">
        <is>
          <t>#disputed-input</t>
        </is>
      </c>
      <c r="Z3" s="7" t="inlineStr">
        <is>
          <t>Opening disputed input</t>
        </is>
      </c>
      <c r="AA3" s="7" t="inlineStr">
        <is>
          <t>Red Alert To Be Investigated. Avro final balance £1,124.93 Debit. Previous balance -768.66; new charges 87.24; payments received -269.03.</t>
        </is>
      </c>
    </row>
    <row r="4">
      <c r="A4" s="2" t="inlineStr">
        <is>
          <t>2022-07-26</t>
        </is>
      </c>
      <c r="B4" s="2" t="inlineStr">
        <is>
          <t>2022-07-26</t>
        </is>
      </c>
      <c r="C4" s="2" t="inlineStr">
        <is>
          <t>BILL_HDR</t>
        </is>
      </c>
      <c r="D4" s="2" t="inlineStr">
        <is>
          <t>2022-06-27</t>
        </is>
      </c>
      <c r="E4" s="2" t="inlineStr">
        <is>
          <t>2022-07-26</t>
        </is>
      </c>
      <c r="F4" s="2" t="inlineStr"/>
      <c r="G4" s="2" t="inlineStr"/>
      <c r="H4" s="2" t="inlineStr">
        <is>
          <t>ELEC</t>
        </is>
      </c>
      <c r="I4" s="2" t="inlineStr"/>
      <c r="J4" s="3" t="n"/>
      <c r="K4" s="3" t="n"/>
      <c r="L4" s="4" t="n"/>
      <c r="M4" s="4" t="n"/>
      <c r="N4" s="3" t="n"/>
      <c r="O4" s="5" t="n"/>
      <c r="P4" s="5" t="n"/>
      <c r="Q4" s="5" t="n"/>
      <c r="R4" s="5" t="n"/>
      <c r="S4" s="5" t="n">
        <v>98.33</v>
      </c>
      <c r="T4" s="5" t="n">
        <v>-1288.55</v>
      </c>
      <c r="U4" s="5" t="n"/>
      <c r="V4" s="5" t="n"/>
      <c r="W4" s="5" t="n">
        <v>-1206.88</v>
      </c>
      <c r="X4" s="5" t="n"/>
      <c r="Y4" s="2" t="inlineStr"/>
      <c r="Z4" s="2" t="inlineStr">
        <is>
          <t>Headline bill</t>
        </is>
      </c>
      <c r="AA4" s="2" t="inlineStr">
        <is>
          <t>Your energy account 27 Jun 2022 - 26 Jul 2022.</t>
        </is>
      </c>
    </row>
    <row r="5">
      <c r="A5" t="inlineStr">
        <is>
          <t>2022-07-26</t>
        </is>
      </c>
      <c r="B5" t="inlineStr">
        <is>
          <t>2022-07-26</t>
        </is>
      </c>
      <c r="C5" t="inlineStr">
        <is>
          <t>DD</t>
        </is>
      </c>
      <c r="D5" t="inlineStr">
        <is>
          <t>2022-06-27</t>
        </is>
      </c>
      <c r="E5" t="inlineStr">
        <is>
          <t>2022-07-26</t>
        </is>
      </c>
      <c r="F5" t="inlineStr"/>
      <c r="G5" t="inlineStr"/>
      <c r="H5" t="inlineStr"/>
      <c r="I5" t="inlineStr"/>
      <c r="J5" s="11" t="n"/>
      <c r="K5" s="11" t="n"/>
      <c r="L5" s="12" t="n"/>
      <c r="M5" s="12" t="n"/>
      <c r="N5" s="11" t="n"/>
      <c r="O5" s="13" t="n">
        <v>180</v>
      </c>
      <c r="P5" s="13" t="n"/>
      <c r="Q5" s="13" t="n"/>
      <c r="R5" s="13" t="n"/>
      <c r="S5" s="13" t="n"/>
      <c r="T5" s="13" t="n">
        <v>-1288.55</v>
      </c>
      <c r="U5" s="13" t="n">
        <v>180</v>
      </c>
      <c r="V5" s="13" t="n">
        <v>-1108.55</v>
      </c>
      <c r="W5" s="13" t="n"/>
      <c r="X5" s="13" t="n"/>
      <c r="Y5" t="inlineStr"/>
      <c r="Z5" t="inlineStr">
        <is>
          <t>Direct Debit</t>
        </is>
      </c>
      <c r="AA5" t="inlineStr">
        <is>
          <t>Direct Debit collection 5 Jul 2022 +180.00</t>
        </is>
      </c>
    </row>
    <row r="6">
      <c r="A6" t="inlineStr">
        <is>
          <t>2022-07-26</t>
        </is>
      </c>
      <c r="B6" t="inlineStr">
        <is>
          <t>2022-07-26</t>
        </is>
      </c>
      <c r="C6" t="inlineStr">
        <is>
          <t>ELEC_SEC</t>
        </is>
      </c>
      <c r="D6" t="inlineStr">
        <is>
          <t>2022-06-27</t>
        </is>
      </c>
      <c r="E6" t="inlineStr">
        <is>
          <t>2022-07-26</t>
        </is>
      </c>
      <c r="F6" t="inlineStr">
        <is>
          <t>2022-06-26</t>
        </is>
      </c>
      <c r="G6" t="inlineStr">
        <is>
          <t>2022-07-25</t>
        </is>
      </c>
      <c r="H6" t="inlineStr">
        <is>
          <t>ELEC</t>
        </is>
      </c>
      <c r="I6" t="inlineStr">
        <is>
          <t>ACTUAL</t>
        </is>
      </c>
      <c r="J6" s="11" t="n"/>
      <c r="K6" s="11" t="n">
        <v>314.7</v>
      </c>
      <c r="L6" s="12" t="n">
        <v>27.1</v>
      </c>
      <c r="M6" s="12" t="n">
        <v>41.07</v>
      </c>
      <c r="N6" s="11" t="n">
        <v>30</v>
      </c>
      <c r="O6" s="13" t="n"/>
      <c r="P6" s="13" t="n"/>
      <c r="Q6" s="13" t="n"/>
      <c r="R6" s="13" t="n">
        <v>98.33</v>
      </c>
      <c r="S6" s="13" t="n"/>
      <c r="T6" s="13" t="n"/>
      <c r="U6" s="13" t="n">
        <v>-98.33</v>
      </c>
      <c r="V6" s="13" t="n"/>
      <c r="W6" s="13" t="n"/>
      <c r="X6" s="13" t="n"/>
      <c r="Y6" t="inlineStr"/>
      <c r="Z6" t="inlineStr">
        <is>
          <t>Electricity charges</t>
        </is>
      </c>
      <c r="AA6" t="inlineStr">
        <is>
          <t>314.7 kWh @ 27.10p/kWh; standing 30 days @ 41.07p/day; Loyal Octopus -3.95; total elec 98.33</t>
        </is>
      </c>
    </row>
    <row r="7">
      <c r="A7" t="inlineStr">
        <is>
          <t>2022-07-26</t>
        </is>
      </c>
      <c r="B7" t="inlineStr">
        <is>
          <t>2022-07-26</t>
        </is>
      </c>
      <c r="C7" t="inlineStr">
        <is>
          <t>AVRO_NOTE</t>
        </is>
      </c>
      <c r="D7" t="inlineStr">
        <is>
          <t>2022-06-27</t>
        </is>
      </c>
      <c r="E7" t="inlineStr">
        <is>
          <t>2022-07-26</t>
        </is>
      </c>
      <c r="F7" t="inlineStr"/>
      <c r="G7" t="inlineStr"/>
      <c r="H7" t="inlineStr">
        <is>
          <t>DUAL</t>
        </is>
      </c>
      <c r="I7" t="inlineStr"/>
      <c r="J7" s="11" t="n"/>
      <c r="K7" s="11" t="n"/>
      <c r="L7" s="12" t="n"/>
      <c r="M7" s="12" t="n"/>
      <c r="N7" s="11" t="n"/>
      <c r="O7" s="13" t="n"/>
      <c r="P7" s="13" t="n"/>
      <c r="Q7" s="13" t="n"/>
      <c r="R7" s="13" t="n"/>
      <c r="S7" s="13" t="n"/>
      <c r="T7" s="13" t="n"/>
      <c r="U7" s="13" t="n">
        <v>0</v>
      </c>
      <c r="V7" s="13" t="n"/>
      <c r="W7" s="13" t="n">
        <v>1124.93</v>
      </c>
      <c r="X7" s="13" t="n"/>
      <c r="Y7" t="inlineStr"/>
      <c r="Z7" t="inlineStr">
        <is>
          <t>Avro repayment note</t>
        </is>
      </c>
      <c r="AA7" t="inlineStr">
        <is>
          <t>Separate Avro repayment page says remaining to pay 1124.93; no debt repayments made this period.</t>
        </is>
      </c>
    </row>
    <row r="8">
      <c r="A8" s="14" t="inlineStr">
        <is>
          <t>2022-07-26</t>
        </is>
      </c>
      <c r="B8" s="14" t="inlineStr">
        <is>
          <t>2022-07-26</t>
        </is>
      </c>
      <c r="C8" s="14" t="inlineStr">
        <is>
          <t>BILL_CHECK</t>
        </is>
      </c>
      <c r="D8" s="14" t="inlineStr">
        <is>
          <t>2022-06-27</t>
        </is>
      </c>
      <c r="E8" s="14" t="inlineStr">
        <is>
          <t>2022-07-26</t>
        </is>
      </c>
      <c r="F8" s="14" t="inlineStr"/>
      <c r="G8" s="14" t="inlineStr"/>
      <c r="H8" s="14" t="inlineStr"/>
      <c r="I8" s="14" t="inlineStr"/>
      <c r="J8" s="15" t="n"/>
      <c r="K8" s="15" t="n"/>
      <c r="L8" s="16" t="n"/>
      <c r="M8" s="16" t="n"/>
      <c r="N8" s="15" t="n"/>
      <c r="O8" s="17" t="n"/>
      <c r="P8" s="17" t="n"/>
      <c r="Q8" s="17" t="n"/>
      <c r="R8" s="17" t="n"/>
      <c r="S8" s="17" t="n">
        <v>98.33</v>
      </c>
      <c r="T8" s="17" t="n">
        <v>-1288.55</v>
      </c>
      <c r="U8" s="17">
        <f>SUM(U4:U6)</f>
        <v/>
      </c>
      <c r="V8" s="17">
        <f>T7+SUM(U4:U6)</f>
        <v/>
      </c>
      <c r="W8" s="17" t="n">
        <v>-1206.88</v>
      </c>
      <c r="X8" s="17">
        <f>W7-X7</f>
        <v/>
      </c>
      <c r="Y8" s="14" t="inlineStr"/>
      <c r="Z8" s="14" t="inlineStr">
        <is>
          <t>Check row</t>
        </is>
      </c>
      <c r="AA8" s="14" t="inlineStr">
        <is>
          <t>Expected running balance should reconcile to bill new balance.</t>
        </is>
      </c>
    </row>
    <row r="9">
      <c r="A9" s="2" t="inlineStr">
        <is>
          <t>2022-07-27</t>
        </is>
      </c>
      <c r="B9" s="2" t="inlineStr">
        <is>
          <t>2022-07-27</t>
        </is>
      </c>
      <c r="C9" s="2" t="inlineStr">
        <is>
          <t>BILL_HDR</t>
        </is>
      </c>
      <c r="D9" s="2" t="inlineStr">
        <is>
          <t>2022-07-27</t>
        </is>
      </c>
      <c r="E9" s="2" t="inlineStr">
        <is>
          <t>2022-07-27</t>
        </is>
      </c>
      <c r="F9" s="2" t="inlineStr"/>
      <c r="G9" s="2" t="inlineStr"/>
      <c r="H9" s="2" t="inlineStr">
        <is>
          <t>GAS</t>
        </is>
      </c>
      <c r="I9" s="2" t="inlineStr"/>
      <c r="J9" s="3" t="n"/>
      <c r="K9" s="3" t="n"/>
      <c r="L9" s="4" t="n"/>
      <c r="M9" s="4" t="n"/>
      <c r="N9" s="3" t="n"/>
      <c r="O9" s="5" t="n"/>
      <c r="P9" s="5" t="n"/>
      <c r="Q9" s="5" t="n"/>
      <c r="R9" s="5" t="n"/>
      <c r="S9" s="5" t="n">
        <v>417.52</v>
      </c>
      <c r="T9" s="5" t="n">
        <v>-1206.88</v>
      </c>
      <c r="U9" s="5" t="n"/>
      <c r="V9" s="5" t="n"/>
      <c r="W9" s="5" t="n">
        <v>-1624.4</v>
      </c>
      <c r="X9" s="5" t="n"/>
      <c r="Y9" s="6" t="inlineStr">
        <is>
          <t>#headline-charge-range-mismatch</t>
        </is>
      </c>
      <c r="Z9" s="6" t="inlineStr">
        <is>
          <t>Single-day headline</t>
        </is>
      </c>
      <c r="AA9" s="2" t="inlineStr">
        <is>
          <t>Headline period is one day, but detailed gas charges run from 29 Mar 2022 to 25 Jul 2022.</t>
        </is>
      </c>
    </row>
    <row r="10">
      <c r="A10" t="inlineStr">
        <is>
          <t>2022-07-27</t>
        </is>
      </c>
      <c r="B10" t="inlineStr">
        <is>
          <t>2022-07-27</t>
        </is>
      </c>
      <c r="C10" t="inlineStr">
        <is>
          <t>GAS_SEC</t>
        </is>
      </c>
      <c r="D10" t="inlineStr">
        <is>
          <t>2022-07-27</t>
        </is>
      </c>
      <c r="E10" t="inlineStr">
        <is>
          <t>2022-07-27</t>
        </is>
      </c>
      <c r="F10" t="inlineStr">
        <is>
          <t>2022-03-29</t>
        </is>
      </c>
      <c r="G10" t="inlineStr">
        <is>
          <t>2022-04-01</t>
        </is>
      </c>
      <c r="H10" t="inlineStr">
        <is>
          <t>GAS</t>
        </is>
      </c>
      <c r="I10" t="inlineStr">
        <is>
          <t>ESTIMATED</t>
        </is>
      </c>
      <c r="J10" s="11" t="n">
        <v>33</v>
      </c>
      <c r="K10" s="11" t="n">
        <v>364.7</v>
      </c>
      <c r="L10" s="12" t="n">
        <v>3.93</v>
      </c>
      <c r="M10" s="12" t="n">
        <v>24.87</v>
      </c>
      <c r="N10" s="11" t="n">
        <v>4</v>
      </c>
      <c r="O10" s="13" t="n"/>
      <c r="P10" s="13" t="n"/>
      <c r="Q10" s="13" t="n">
        <v>16.09</v>
      </c>
      <c r="R10" s="13" t="n"/>
      <c r="S10" s="13" t="n"/>
      <c r="T10" s="13" t="n"/>
      <c r="U10" s="13" t="n">
        <v>-16.09</v>
      </c>
      <c r="V10" s="13" t="n"/>
      <c r="W10" s="13" t="n"/>
      <c r="X10" s="13" t="n"/>
      <c r="Y10" s="6" t="inlineStr">
        <is>
          <t>#charge-period-buried</t>
        </is>
      </c>
      <c r="Z10" s="7" t="inlineStr">
        <is>
          <t>Historic gas section</t>
        </is>
      </c>
      <c r="AA10" t="inlineStr">
        <is>
          <t>Estimated gas 29 Mar 2022 - 1 Apr 2022; total gas charges 16.09</t>
        </is>
      </c>
    </row>
    <row r="11">
      <c r="A11" t="inlineStr">
        <is>
          <t>2022-07-27</t>
        </is>
      </c>
      <c r="B11" t="inlineStr">
        <is>
          <t>2022-07-27</t>
        </is>
      </c>
      <c r="C11" t="inlineStr">
        <is>
          <t>GAS_SEC</t>
        </is>
      </c>
      <c r="D11" t="inlineStr">
        <is>
          <t>2022-07-27</t>
        </is>
      </c>
      <c r="E11" t="inlineStr">
        <is>
          <t>2022-07-27</t>
        </is>
      </c>
      <c r="F11" t="inlineStr">
        <is>
          <t>2022-04-02</t>
        </is>
      </c>
      <c r="G11" t="inlineStr">
        <is>
          <t>2022-07-25</t>
        </is>
      </c>
      <c r="H11" t="inlineStr">
        <is>
          <t>GAS</t>
        </is>
      </c>
      <c r="I11" t="inlineStr">
        <is>
          <t>ESTIMATED</t>
        </is>
      </c>
      <c r="J11" s="11" t="n">
        <v>441.2</v>
      </c>
      <c r="K11" s="11" t="n">
        <v>4950.8</v>
      </c>
      <c r="L11" s="12" t="n">
        <v>7.12</v>
      </c>
      <c r="M11" s="12" t="n">
        <v>25.92</v>
      </c>
      <c r="N11" s="11" t="n">
        <v>115</v>
      </c>
      <c r="O11" s="13" t="n"/>
      <c r="P11" s="13" t="n"/>
      <c r="Q11" s="13" t="n">
        <v>401.43</v>
      </c>
      <c r="R11" s="13" t="n"/>
      <c r="S11" s="13" t="n"/>
      <c r="T11" s="13" t="n"/>
      <c r="U11" s="13" t="n">
        <v>-401.43</v>
      </c>
      <c r="V11" s="13" t="n"/>
      <c r="W11" s="13" t="n"/>
      <c r="X11" s="13" t="n"/>
      <c r="Y11" s="6" t="inlineStr">
        <is>
          <t>#charge-period-buried</t>
        </is>
      </c>
      <c r="Z11" s="7" t="inlineStr">
        <is>
          <t>Large gas catch-up</t>
        </is>
      </c>
      <c r="AA11" t="inlineStr">
        <is>
          <t>Estimated gas 2 Apr 2022 - 25 Jul 2022; total gas charges 401.43</t>
        </is>
      </c>
    </row>
    <row r="12">
      <c r="A12" t="inlineStr">
        <is>
          <t>2022-07-27</t>
        </is>
      </c>
      <c r="B12" t="inlineStr">
        <is>
          <t>2022-07-27</t>
        </is>
      </c>
      <c r="C12" t="inlineStr">
        <is>
          <t>AVRO_NOTE</t>
        </is>
      </c>
      <c r="D12" t="inlineStr">
        <is>
          <t>2022-07-27</t>
        </is>
      </c>
      <c r="E12" t="inlineStr">
        <is>
          <t>2022-07-27</t>
        </is>
      </c>
      <c r="F12" t="inlineStr"/>
      <c r="G12" t="inlineStr"/>
      <c r="H12" t="inlineStr">
        <is>
          <t>DUAL</t>
        </is>
      </c>
      <c r="I12" t="inlineStr"/>
      <c r="J12" s="11" t="n"/>
      <c r="K12" s="11" t="n"/>
      <c r="L12" s="12" t="n"/>
      <c r="M12" s="12" t="n"/>
      <c r="N12" s="11" t="n"/>
      <c r="O12" s="13" t="n"/>
      <c r="P12" s="13" t="n"/>
      <c r="Q12" s="13" t="n"/>
      <c r="R12" s="13" t="n"/>
      <c r="S12" s="13" t="n"/>
      <c r="T12" s="13" t="n"/>
      <c r="U12" s="13" t="n">
        <v>0</v>
      </c>
      <c r="V12" s="13" t="n"/>
      <c r="W12" s="13" t="n">
        <v>1124.93</v>
      </c>
      <c r="X12" s="13" t="n"/>
      <c r="Y12" t="inlineStr"/>
      <c r="Z12" t="inlineStr">
        <is>
          <t>Avro repayment note</t>
        </is>
      </c>
      <c r="AA12" t="inlineStr">
        <is>
          <t>Separate Avro repayment page says no debt repayments made; remaining to pay 1124.93.</t>
        </is>
      </c>
    </row>
    <row r="13">
      <c r="A13" s="14" t="inlineStr">
        <is>
          <t>2022-07-27</t>
        </is>
      </c>
      <c r="B13" s="14" t="inlineStr">
        <is>
          <t>2022-07-27</t>
        </is>
      </c>
      <c r="C13" s="14" t="inlineStr">
        <is>
          <t>BILL_CHECK</t>
        </is>
      </c>
      <c r="D13" s="14" t="inlineStr">
        <is>
          <t>2022-07-27</t>
        </is>
      </c>
      <c r="E13" s="14" t="inlineStr">
        <is>
          <t>2022-07-27</t>
        </is>
      </c>
      <c r="F13" s="14" t="inlineStr"/>
      <c r="G13" s="14" t="inlineStr"/>
      <c r="H13" s="14" t="inlineStr"/>
      <c r="I13" s="14" t="inlineStr"/>
      <c r="J13" s="15" t="n"/>
      <c r="K13" s="15" t="n"/>
      <c r="L13" s="16" t="n"/>
      <c r="M13" s="16" t="n"/>
      <c r="N13" s="15" t="n"/>
      <c r="O13" s="17" t="n"/>
      <c r="P13" s="17" t="n"/>
      <c r="Q13" s="17" t="n"/>
      <c r="R13" s="17" t="n"/>
      <c r="S13" s="17" t="n">
        <v>417.52</v>
      </c>
      <c r="T13" s="17" t="n">
        <v>-1206.88</v>
      </c>
      <c r="U13" s="17">
        <f>SUM(U9:U11)</f>
        <v/>
      </c>
      <c r="V13" s="17">
        <f>T12+SUM(U9:U11)</f>
        <v/>
      </c>
      <c r="W13" s="17" t="n">
        <v>-1624.4</v>
      </c>
      <c r="X13" s="17">
        <f>W12-X12</f>
        <v/>
      </c>
      <c r="Y13" s="6" t="inlineStr">
        <is>
          <t>#gas-catchup-bill</t>
        </is>
      </c>
      <c r="Z13" s="7" t="inlineStr">
        <is>
          <t>Gas catch-up bill</t>
        </is>
      </c>
      <c r="AA13" s="14" t="inlineStr">
        <is>
          <t>Gas catch-up bill presented as 1-day statement.</t>
        </is>
      </c>
    </row>
    <row r="14">
      <c r="A14" s="2" t="inlineStr">
        <is>
          <t>2022-08-26</t>
        </is>
      </c>
      <c r="B14" s="2" t="inlineStr">
        <is>
          <t>2022-08-26</t>
        </is>
      </c>
      <c r="C14" s="2" t="inlineStr">
        <is>
          <t>BILL_HDR</t>
        </is>
      </c>
      <c r="D14" s="2" t="inlineStr">
        <is>
          <t>2022-07-28</t>
        </is>
      </c>
      <c r="E14" s="2" t="inlineStr">
        <is>
          <t>2022-08-26</t>
        </is>
      </c>
      <c r="F14" s="2" t="inlineStr"/>
      <c r="G14" s="2" t="inlineStr"/>
      <c r="H14" s="2" t="inlineStr">
        <is>
          <t>ELEC</t>
        </is>
      </c>
      <c r="I14" s="2" t="inlineStr"/>
      <c r="J14" s="3" t="n"/>
      <c r="K14" s="3" t="n"/>
      <c r="L14" s="4" t="n"/>
      <c r="M14" s="4" t="n"/>
      <c r="N14" s="3" t="n"/>
      <c r="O14" s="5" t="n"/>
      <c r="P14" s="5" t="n"/>
      <c r="Q14" s="5" t="n"/>
      <c r="R14" s="5" t="n"/>
      <c r="S14" s="5" t="n">
        <v>98.40000000000001</v>
      </c>
      <c r="T14" s="5" t="n">
        <v>-1624.4</v>
      </c>
      <c r="U14" s="5" t="n"/>
      <c r="V14" s="5" t="n"/>
      <c r="W14" s="5" t="n">
        <v>-1542.8</v>
      </c>
      <c r="X14" s="5" t="n"/>
      <c r="Y14" s="2" t="inlineStr"/>
      <c r="Z14" s="2" t="inlineStr">
        <is>
          <t>Headline bill</t>
        </is>
      </c>
      <c r="AA14" s="2" t="inlineStr">
        <is>
          <t>Your energy account 28 Jul 2022 - 26 Aug 2022.</t>
        </is>
      </c>
    </row>
    <row r="15">
      <c r="A15" t="inlineStr">
        <is>
          <t>2022-08-26</t>
        </is>
      </c>
      <c r="B15" t="inlineStr">
        <is>
          <t>2022-08-26</t>
        </is>
      </c>
      <c r="C15" t="inlineStr">
        <is>
          <t>DD</t>
        </is>
      </c>
      <c r="D15" t="inlineStr">
        <is>
          <t>2022-07-28</t>
        </is>
      </c>
      <c r="E15" t="inlineStr">
        <is>
          <t>2022-08-26</t>
        </is>
      </c>
      <c r="F15" t="inlineStr"/>
      <c r="G15" t="inlineStr"/>
      <c r="H15" t="inlineStr"/>
      <c r="I15" t="inlineStr"/>
      <c r="J15" s="11" t="n"/>
      <c r="K15" s="11" t="n"/>
      <c r="L15" s="12" t="n"/>
      <c r="M15" s="12" t="n"/>
      <c r="N15" s="11" t="n"/>
      <c r="O15" s="13" t="n">
        <v>180</v>
      </c>
      <c r="P15" s="13" t="n"/>
      <c r="Q15" s="13" t="n"/>
      <c r="R15" s="13" t="n"/>
      <c r="S15" s="13" t="n"/>
      <c r="T15" s="13" t="n">
        <v>-1624.4</v>
      </c>
      <c r="U15" s="13" t="n">
        <v>180</v>
      </c>
      <c r="V15" s="13" t="n">
        <v>-1444.4</v>
      </c>
      <c r="W15" s="13" t="n"/>
      <c r="X15" s="13" t="n"/>
      <c r="Y15" t="inlineStr"/>
      <c r="Z15" t="inlineStr">
        <is>
          <t>Direct Debit</t>
        </is>
      </c>
      <c r="AA15" t="inlineStr">
        <is>
          <t>Direct Debit collection 5 Aug 2022 +180.00</t>
        </is>
      </c>
    </row>
    <row r="16">
      <c r="A16" t="inlineStr">
        <is>
          <t>2022-08-26</t>
        </is>
      </c>
      <c r="B16" t="inlineStr">
        <is>
          <t>2022-08-26</t>
        </is>
      </c>
      <c r="C16" t="inlineStr">
        <is>
          <t>ELEC_SEC</t>
        </is>
      </c>
      <c r="D16" t="inlineStr">
        <is>
          <t>2022-07-28</t>
        </is>
      </c>
      <c r="E16" t="inlineStr">
        <is>
          <t>2022-08-26</t>
        </is>
      </c>
      <c r="F16" t="inlineStr">
        <is>
          <t>2022-07-26</t>
        </is>
      </c>
      <c r="G16" t="inlineStr">
        <is>
          <t>2022-08-25</t>
        </is>
      </c>
      <c r="H16" t="inlineStr">
        <is>
          <t>ELEC</t>
        </is>
      </c>
      <c r="I16" t="inlineStr">
        <is>
          <t>ACTUAL</t>
        </is>
      </c>
      <c r="J16" s="11" t="n"/>
      <c r="K16" s="11" t="n">
        <v>313.9</v>
      </c>
      <c r="L16" s="12" t="n">
        <v>27.1</v>
      </c>
      <c r="M16" s="12" t="n">
        <v>41.07</v>
      </c>
      <c r="N16" s="11" t="n">
        <v>31</v>
      </c>
      <c r="O16" s="13" t="n"/>
      <c r="P16" s="13" t="n"/>
      <c r="Q16" s="13" t="n"/>
      <c r="R16" s="13" t="n">
        <v>98.40000000000001</v>
      </c>
      <c r="S16" s="13" t="n"/>
      <c r="T16" s="13" t="n"/>
      <c r="U16" s="13" t="n">
        <v>-98.40000000000001</v>
      </c>
      <c r="V16" s="13" t="n"/>
      <c r="W16" s="13" t="n"/>
      <c r="X16" s="13" t="n"/>
      <c r="Y16" t="inlineStr"/>
      <c r="Z16" t="inlineStr">
        <is>
          <t>Electricity charges</t>
        </is>
      </c>
      <c r="AA16" t="inlineStr">
        <is>
          <t>313.9 kWh @ 27.10p/kWh; standing 31 days @ 41.07p/day; Loyal Octopus -4.08; total elec 98.40</t>
        </is>
      </c>
    </row>
    <row r="17">
      <c r="A17" t="inlineStr">
        <is>
          <t>2022-08-26</t>
        </is>
      </c>
      <c r="B17" t="inlineStr">
        <is>
          <t>2022-08-26</t>
        </is>
      </c>
      <c r="C17" t="inlineStr">
        <is>
          <t>AVRO_NOTE</t>
        </is>
      </c>
      <c r="D17" t="inlineStr">
        <is>
          <t>2022-07-28</t>
        </is>
      </c>
      <c r="E17" t="inlineStr">
        <is>
          <t>2022-08-26</t>
        </is>
      </c>
      <c r="F17" t="inlineStr"/>
      <c r="G17" t="inlineStr"/>
      <c r="H17" t="inlineStr">
        <is>
          <t>DUAL</t>
        </is>
      </c>
      <c r="I17" t="inlineStr"/>
      <c r="J17" s="11" t="n"/>
      <c r="K17" s="11" t="n"/>
      <c r="L17" s="12" t="n"/>
      <c r="M17" s="12" t="n"/>
      <c r="N17" s="11" t="n"/>
      <c r="O17" s="13" t="n"/>
      <c r="P17" s="13" t="n"/>
      <c r="Q17" s="13" t="n"/>
      <c r="R17" s="13" t="n"/>
      <c r="S17" s="13" t="n"/>
      <c r="T17" s="13" t="n"/>
      <c r="U17" s="13" t="n">
        <v>0</v>
      </c>
      <c r="V17" s="13" t="n"/>
      <c r="W17" s="13" t="n">
        <v>1124.93</v>
      </c>
      <c r="X17" s="13" t="n"/>
      <c r="Y17" t="inlineStr"/>
      <c r="Z17" t="inlineStr">
        <is>
          <t>Avro repayment note</t>
        </is>
      </c>
      <c r="AA17" t="inlineStr">
        <is>
          <t>Separate Avro repayment page says no debt repayments made; remaining to pay 1124.93.</t>
        </is>
      </c>
    </row>
    <row r="18">
      <c r="A18" s="14" t="inlineStr">
        <is>
          <t>2022-08-26</t>
        </is>
      </c>
      <c r="B18" s="14" t="inlineStr">
        <is>
          <t>2022-08-26</t>
        </is>
      </c>
      <c r="C18" s="14" t="inlineStr">
        <is>
          <t>BILL_CHECK</t>
        </is>
      </c>
      <c r="D18" s="14" t="inlineStr">
        <is>
          <t>2022-07-28</t>
        </is>
      </c>
      <c r="E18" s="14" t="inlineStr">
        <is>
          <t>2022-08-26</t>
        </is>
      </c>
      <c r="F18" s="14" t="inlineStr"/>
      <c r="G18" s="14" t="inlineStr"/>
      <c r="H18" s="14" t="inlineStr"/>
      <c r="I18" s="14" t="inlineStr"/>
      <c r="J18" s="15" t="n"/>
      <c r="K18" s="15" t="n"/>
      <c r="L18" s="16" t="n"/>
      <c r="M18" s="16" t="n"/>
      <c r="N18" s="15" t="n"/>
      <c r="O18" s="17" t="n"/>
      <c r="P18" s="17" t="n"/>
      <c r="Q18" s="17" t="n"/>
      <c r="R18" s="17" t="n"/>
      <c r="S18" s="17" t="n">
        <v>98.40000000000001</v>
      </c>
      <c r="T18" s="17" t="n">
        <v>-1624.4</v>
      </c>
      <c r="U18" s="17">
        <f>SUM(U14:U16)</f>
        <v/>
      </c>
      <c r="V18" s="17">
        <f>T17+SUM(U14:U16)</f>
        <v/>
      </c>
      <c r="W18" s="17" t="n">
        <v>-1542.8</v>
      </c>
      <c r="X18" s="17">
        <f>W17-X17</f>
        <v/>
      </c>
      <c r="Y18" s="14" t="inlineStr"/>
      <c r="Z18" s="14" t="inlineStr">
        <is>
          <t>Check row</t>
        </is>
      </c>
      <c r="AA18" s="14" t="inlineStr">
        <is>
          <t>Expected running balance should reconcile to bill new balance.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13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  <col width="18" customWidth="1" min="15" max="15"/>
    <col width="13" customWidth="1" min="16" max="16"/>
    <col width="12" customWidth="1" min="17" max="17"/>
  </cols>
  <sheetData>
    <row r="1">
      <c r="A1" s="18" t="inlineStr">
        <is>
          <t>SOURCE_FILE</t>
        </is>
      </c>
      <c r="B1" s="18" t="inlineStr">
        <is>
          <t>BILL_DATE</t>
        </is>
      </c>
      <c r="C1" s="18" t="inlineStr">
        <is>
          <t>HEADLINE_FROM</t>
        </is>
      </c>
      <c r="D1" s="18" t="inlineStr">
        <is>
          <t>HEADLINE_TO</t>
        </is>
      </c>
      <c r="E1" s="18" t="inlineStr">
        <is>
          <t>PREV_BAL</t>
        </is>
      </c>
      <c r="F1" s="18" t="inlineStr">
        <is>
          <t>NEW_BAL</t>
        </is>
      </c>
      <c r="G1" s="18" t="inlineStr">
        <is>
          <t>DETAIL_TYPE</t>
        </is>
      </c>
      <c r="H1" s="18" t="inlineStr">
        <is>
          <t>CHARGE_FROM</t>
        </is>
      </c>
      <c r="I1" s="18" t="inlineStr">
        <is>
          <t>CHARGE_TO</t>
        </is>
      </c>
      <c r="J1" s="18" t="inlineStr">
        <is>
          <t>FUEL</t>
        </is>
      </c>
      <c r="K1" s="18" t="inlineStr">
        <is>
          <t>READ_TYPE</t>
        </is>
      </c>
      <c r="L1" s="18" t="inlineStr">
        <is>
          <t>UNITS_M3</t>
        </is>
      </c>
      <c r="M1" s="18" t="inlineStr">
        <is>
          <t>KWH</t>
        </is>
      </c>
      <c r="N1" s="18" t="inlineStr">
        <is>
          <t>UNIT_RATE_P</t>
        </is>
      </c>
      <c r="O1" s="18" t="inlineStr">
        <is>
          <t>STANDING_P_DAY</t>
        </is>
      </c>
      <c r="P1" s="18" t="inlineStr">
        <is>
          <t>TOTAL_GBP</t>
        </is>
      </c>
      <c r="Q1" s="18" t="inlineStr">
        <is>
          <t>NOTE</t>
        </is>
      </c>
    </row>
    <row r="2">
      <c r="A2" t="inlineStr">
        <is>
          <t>VVRO-HANDOVER-BILL</t>
        </is>
      </c>
      <c r="B2" t="inlineStr">
        <is>
          <t>2021-09-29</t>
        </is>
      </c>
      <c r="C2" t="inlineStr">
        <is>
          <t>2021-08-28</t>
        </is>
      </c>
      <c r="D2" t="inlineStr">
        <is>
          <t>2021-09-26</t>
        </is>
      </c>
      <c r="E2" s="13" t="inlineStr"/>
      <c r="F2" s="13" t="inlineStr">
        <is>
          <t>1124.93</t>
        </is>
      </c>
      <c r="G2" t="inlineStr">
        <is>
          <t>FINAL_BAL</t>
        </is>
      </c>
      <c r="H2" t="inlineStr"/>
      <c r="I2" t="inlineStr"/>
      <c r="J2" t="inlineStr">
        <is>
          <t>DUAL</t>
        </is>
      </c>
      <c r="K2" t="inlineStr"/>
      <c r="L2" t="inlineStr"/>
      <c r="M2" t="inlineStr"/>
      <c r="N2" t="inlineStr"/>
      <c r="O2" t="inlineStr"/>
      <c r="P2" s="13" t="inlineStr">
        <is>
          <t>1124.93</t>
        </is>
      </c>
      <c r="Q2" t="inlineStr">
        <is>
          <t>Previous balance -768.66; new charges 87.24; payments received -269.03</t>
        </is>
      </c>
    </row>
    <row r="3">
      <c r="A3" t="inlineStr">
        <is>
          <t>octopus-energy-statement-2022-07-26.pdf</t>
        </is>
      </c>
      <c r="B3" t="inlineStr">
        <is>
          <t>2022-07-26</t>
        </is>
      </c>
      <c r="C3" t="inlineStr">
        <is>
          <t>2022-06-27</t>
        </is>
      </c>
      <c r="D3" t="inlineStr">
        <is>
          <t>2022-07-26</t>
        </is>
      </c>
      <c r="E3" s="13" t="inlineStr">
        <is>
          <t>-1288.55</t>
        </is>
      </c>
      <c r="F3" s="13" t="inlineStr">
        <is>
          <t>-1206.88</t>
        </is>
      </c>
      <c r="G3" t="inlineStr">
        <is>
          <t>ELEC_SEC</t>
        </is>
      </c>
      <c r="H3" t="inlineStr">
        <is>
          <t>2022-06-26</t>
        </is>
      </c>
      <c r="I3" t="inlineStr">
        <is>
          <t>2022-07-25</t>
        </is>
      </c>
      <c r="J3" t="inlineStr">
        <is>
          <t>ELEC</t>
        </is>
      </c>
      <c r="K3" t="inlineStr">
        <is>
          <t>ACTUAL</t>
        </is>
      </c>
      <c r="L3" t="inlineStr"/>
      <c r="M3" t="inlineStr">
        <is>
          <t>314.7</t>
        </is>
      </c>
      <c r="N3" t="inlineStr">
        <is>
          <t>27.10</t>
        </is>
      </c>
      <c r="O3" t="inlineStr">
        <is>
          <t>41.07</t>
        </is>
      </c>
      <c r="P3" s="13" t="inlineStr">
        <is>
          <t>98.33</t>
        </is>
      </c>
      <c r="Q3" t="inlineStr">
        <is>
          <t>DD +180.00 also on headline</t>
        </is>
      </c>
    </row>
    <row r="4">
      <c r="A4" t="inlineStr">
        <is>
          <t>octopus-energy-statement-2022-07-27.pdf</t>
        </is>
      </c>
      <c r="B4" t="inlineStr">
        <is>
          <t>2022-07-27</t>
        </is>
      </c>
      <c r="C4" t="inlineStr">
        <is>
          <t>2022-07-27</t>
        </is>
      </c>
      <c r="D4" t="inlineStr">
        <is>
          <t>2022-07-27</t>
        </is>
      </c>
      <c r="E4" s="13" t="inlineStr">
        <is>
          <t>-1206.88</t>
        </is>
      </c>
      <c r="F4" s="13" t="inlineStr">
        <is>
          <t>-1624.40</t>
        </is>
      </c>
      <c r="G4" t="inlineStr">
        <is>
          <t>GAS_SEC</t>
        </is>
      </c>
      <c r="H4" t="inlineStr">
        <is>
          <t>2022-03-29</t>
        </is>
      </c>
      <c r="I4" t="inlineStr">
        <is>
          <t>2022-04-01</t>
        </is>
      </c>
      <c r="J4" t="inlineStr">
        <is>
          <t>GAS</t>
        </is>
      </c>
      <c r="K4" t="inlineStr">
        <is>
          <t>ESTIMATED</t>
        </is>
      </c>
      <c r="L4" t="inlineStr">
        <is>
          <t>33.0</t>
        </is>
      </c>
      <c r="M4" t="inlineStr">
        <is>
          <t>364.7</t>
        </is>
      </c>
      <c r="N4" t="inlineStr">
        <is>
          <t>3.93</t>
        </is>
      </c>
      <c r="O4" t="inlineStr">
        <is>
          <t>24.87</t>
        </is>
      </c>
      <c r="P4" s="13" t="inlineStr">
        <is>
          <t>16.09</t>
        </is>
      </c>
      <c r="Q4" t="inlineStr">
        <is>
          <t>Headline single day</t>
        </is>
      </c>
    </row>
    <row r="5">
      <c r="A5" t="inlineStr">
        <is>
          <t>octopus-energy-statement-2022-07-27.pdf</t>
        </is>
      </c>
      <c r="B5" t="inlineStr">
        <is>
          <t>2022-07-27</t>
        </is>
      </c>
      <c r="C5" t="inlineStr">
        <is>
          <t>2022-07-27</t>
        </is>
      </c>
      <c r="D5" t="inlineStr">
        <is>
          <t>2022-07-27</t>
        </is>
      </c>
      <c r="E5" s="13" t="inlineStr">
        <is>
          <t>-1206.88</t>
        </is>
      </c>
      <c r="F5" s="13" t="inlineStr">
        <is>
          <t>-1624.40</t>
        </is>
      </c>
      <c r="G5" t="inlineStr">
        <is>
          <t>GAS_SEC</t>
        </is>
      </c>
      <c r="H5" t="inlineStr">
        <is>
          <t>2022-04-02</t>
        </is>
      </c>
      <c r="I5" t="inlineStr">
        <is>
          <t>2022-07-25</t>
        </is>
      </c>
      <c r="J5" t="inlineStr">
        <is>
          <t>GAS</t>
        </is>
      </c>
      <c r="K5" t="inlineStr">
        <is>
          <t>ESTIMATED</t>
        </is>
      </c>
      <c r="L5" t="inlineStr">
        <is>
          <t>441.2</t>
        </is>
      </c>
      <c r="M5" t="inlineStr">
        <is>
          <t>4950.8</t>
        </is>
      </c>
      <c r="N5" t="inlineStr">
        <is>
          <t>7.12</t>
        </is>
      </c>
      <c r="O5" t="inlineStr">
        <is>
          <t>25.92</t>
        </is>
      </c>
      <c r="P5" s="13" t="inlineStr">
        <is>
          <t>401.43</t>
        </is>
      </c>
      <c r="Q5" t="inlineStr">
        <is>
          <t>Headline single day</t>
        </is>
      </c>
    </row>
    <row r="6">
      <c r="A6" t="inlineStr">
        <is>
          <t>octopus-energy-statement-2022-08-26.pdf</t>
        </is>
      </c>
      <c r="B6" t="inlineStr">
        <is>
          <t>2022-08-26</t>
        </is>
      </c>
      <c r="C6" t="inlineStr">
        <is>
          <t>2022-07-28</t>
        </is>
      </c>
      <c r="D6" t="inlineStr">
        <is>
          <t>2022-08-26</t>
        </is>
      </c>
      <c r="E6" s="13" t="inlineStr">
        <is>
          <t>-1624.40</t>
        </is>
      </c>
      <c r="F6" s="13" t="inlineStr">
        <is>
          <t>-1542.80</t>
        </is>
      </c>
      <c r="G6" t="inlineStr">
        <is>
          <t>ELEC_SEC</t>
        </is>
      </c>
      <c r="H6" t="inlineStr">
        <is>
          <t>2022-07-26</t>
        </is>
      </c>
      <c r="I6" t="inlineStr">
        <is>
          <t>2022-08-25</t>
        </is>
      </c>
      <c r="J6" t="inlineStr">
        <is>
          <t>ELEC</t>
        </is>
      </c>
      <c r="K6" t="inlineStr">
        <is>
          <t>ACTUAL</t>
        </is>
      </c>
      <c r="L6" t="inlineStr"/>
      <c r="M6" t="inlineStr">
        <is>
          <t>313.9</t>
        </is>
      </c>
      <c r="N6" t="inlineStr">
        <is>
          <t>27.10</t>
        </is>
      </c>
      <c r="O6" t="inlineStr">
        <is>
          <t>41.07</t>
        </is>
      </c>
      <c r="P6" s="13" t="inlineStr">
        <is>
          <t>98.40</t>
        </is>
      </c>
      <c r="Q6" t="inlineStr">
        <is>
          <t>DD +180.00 also on headline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30" customWidth="1" min="8" max="8"/>
  </cols>
  <sheetData>
    <row r="1">
      <c r="A1" s="18" t="inlineStr">
        <is>
          <t>BILL_DATE</t>
        </is>
      </c>
      <c r="B1" s="18" t="inlineStr">
        <is>
          <t>CHECK_TYPE</t>
        </is>
      </c>
      <c r="C1" s="18" t="inlineStr">
        <is>
          <t>SOURCE</t>
        </is>
      </c>
      <c r="D1" s="18" t="inlineStr">
        <is>
          <t>CALC_ROUTE_A</t>
        </is>
      </c>
      <c r="E1" s="18" t="inlineStr">
        <is>
          <t>CALC_ROUTE_B</t>
        </is>
      </c>
      <c r="F1" s="18" t="inlineStr">
        <is>
          <t>VARIANCE</t>
        </is>
      </c>
      <c r="G1" s="18" t="inlineStr">
        <is>
          <t>STATUS</t>
        </is>
      </c>
      <c r="H1" s="18" t="inlineStr">
        <is>
          <t>NOTE</t>
        </is>
      </c>
    </row>
    <row r="2">
      <c r="A2" t="inlineStr">
        <is>
          <t>2022-07-26</t>
        </is>
      </c>
      <c r="B2" t="inlineStr">
        <is>
          <t>RUN_BAL</t>
        </is>
      </c>
      <c r="C2" t="inlineStr">
        <is>
          <t>Prev bal + DD + Elec</t>
        </is>
      </c>
      <c r="D2" s="13" t="n">
        <v>-1206.88</v>
      </c>
      <c r="E2" s="13" t="n">
        <v>-1206.88</v>
      </c>
      <c r="F2" s="13">
        <f>D2-E2</f>
        <v/>
      </c>
      <c r="G2" t="inlineStr">
        <is>
          <t>OK if 0</t>
        </is>
      </c>
      <c r="H2" t="inlineStr">
        <is>
          <t>Electricity/DD month</t>
        </is>
      </c>
    </row>
    <row r="3">
      <c r="A3" t="inlineStr">
        <is>
          <t>2022-07-27</t>
        </is>
      </c>
      <c r="B3" t="inlineStr">
        <is>
          <t>RUN_BAL</t>
        </is>
      </c>
      <c r="C3" t="inlineStr">
        <is>
          <t>Prev bal + gas sections</t>
        </is>
      </c>
      <c r="D3" s="13" t="n">
        <v>-1624.4</v>
      </c>
      <c r="E3" s="13" t="n">
        <v>-1624.4</v>
      </c>
      <c r="F3" s="13">
        <f>D3-E3</f>
        <v/>
      </c>
      <c r="G3" t="inlineStr">
        <is>
          <t>OK if 0</t>
        </is>
      </c>
      <c r="H3" t="inlineStr">
        <is>
          <t>Catch-up gas bill</t>
        </is>
      </c>
    </row>
    <row r="4">
      <c r="A4" t="inlineStr">
        <is>
          <t>2022-08-26</t>
        </is>
      </c>
      <c r="B4" t="inlineStr">
        <is>
          <t>RUN_BAL</t>
        </is>
      </c>
      <c r="C4" t="inlineStr">
        <is>
          <t>Prev bal + DD + Elec</t>
        </is>
      </c>
      <c r="D4" s="13" t="n">
        <v>-1542.8</v>
      </c>
      <c r="E4" s="13" t="n">
        <v>-1542.8</v>
      </c>
      <c r="F4" s="13">
        <f>D4-E4</f>
        <v/>
      </c>
      <c r="G4" t="inlineStr">
        <is>
          <t>OK if 0</t>
        </is>
      </c>
      <c r="H4" t="inlineStr">
        <is>
          <t>Electricity/DD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8" t="inlineStr">
        <is>
          <t>TAG</t>
        </is>
      </c>
      <c r="B1" s="18" t="inlineStr">
        <is>
          <t>MEANING</t>
        </is>
      </c>
    </row>
    <row r="2">
      <c r="A2" t="inlineStr">
        <is>
          <t>#disputed-input</t>
        </is>
      </c>
      <c r="B2" t="inlineStr">
        <is>
          <t>Working input accepted for pass 1 but explicitly to be reviewed later.</t>
        </is>
      </c>
    </row>
    <row r="3">
      <c r="A3" t="inlineStr">
        <is>
          <t>#apparent-zero-balance</t>
        </is>
      </c>
      <c r="B3" t="inlineStr">
        <is>
          <t>Customer-facing wording creates impression balance/debt is cleared.</t>
        </is>
      </c>
    </row>
    <row r="4">
      <c r="A4" t="inlineStr">
        <is>
          <t>#headline-charge-range-mismatch</t>
        </is>
      </c>
      <c r="B4" t="inlineStr">
        <is>
          <t>Headline statement period does not align cleanly with underlying charge periods.</t>
        </is>
      </c>
    </row>
    <row r="5">
      <c r="A5" t="inlineStr">
        <is>
          <t>#charge-period-buried</t>
        </is>
      </c>
      <c r="B5" t="inlineStr">
        <is>
          <t>Important older charge-period detail is buried inside bill detail and easy to miss on casual read.</t>
        </is>
      </c>
    </row>
    <row r="6">
      <c r="A6" t="inlineStr">
        <is>
          <t>#gas-catchup-bill</t>
        </is>
      </c>
      <c r="B6" t="inlineStr">
        <is>
          <t>Large historic gas charges land in later-presented statement, creating a step-change in balance.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2026-04-01T04:19:09Z</dcterms:created>
  <dcterms:modified xmlns:dcterms="http://purl.org/dc/terms/" xmlns:xsi="http://www.w3.org/2001/XMLSchema-instance" xsi:type="dcterms:W3CDTF">2026-04-01T04:19:09Z</dcterms:modified>
</cp:coreProperties>
</file>