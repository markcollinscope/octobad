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<sst xmlns="http://schemas.openxmlformats.org/spreadsheetml/2006/main" count="16" uniqueCount="16">
  <si>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Avro Bill Summary</t>
  </si>
  <si>
    <t>Start Balance</t>
  </si>
  <si>
    <t>Energy Used</t>
  </si>
  <si>
    <t>Customer  Payment</t>
  </si>
  <si>
    <t xml:space="preserve">Sum Absolutes** </t>
  </si>
  <si>
    <t>Calculate shown***</t>
  </si>
  <si>
    <t xml:space="preserve">**   NB: DR  BALANCE </t>
  </si>
  <si>
    <t xml:space="preserve">*** NB: Avro convention: </t>
  </si>
  <si>
    <t>their bill  +ve  value</t>
  </si>
  <si>
    <t>customer payment -ve values.</t>
  </si>
  <si>
    <t>FINAL GAS READING</t>
  </si>
  <si>
    <t>E</t>
  </si>
  <si>
    <t>ESTIMATED ANNUAL USAGE</t>
  </si>
  <si>
    <t>ELEC</t>
  </si>
  <si>
    <t>GAS</t>
  </si>
  <si>
    <t>ALL FIGURES ESTIMATED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</si>
</sst>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sz val="9.0"/>
      <color/>
      <name val="Aptos Narrow"/>
    </font>
    <font>
      <i/>
      <sz val="9.0"/>
      <color rgb="FF00FF00"/>
      <name val="Aptos Narrow"/>
    </font>
    <font>
      <sz val="9.0"/>
      <color rgb="FF00FF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7.0"/>
    <col customWidth="1" min="3" max="6" width="8.57"/>
    <col customWidth="1" min="7" max="11" width="8.71"/>
  </cols>
  <sheetData>
    <row r="1" ht="1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1.25" customHeight="1">
      <c r="A3" s="1" t="s">
        <v>1</v>
      </c>
      <c r="B3" s="1"/>
      <c r="C3" s="1">
        <v>-768.66</v>
      </c>
      <c r="D3" s="1"/>
      <c r="E3" s="1"/>
      <c r="F3" s="1"/>
      <c r="G3" s="1"/>
      <c r="H3" s="1"/>
      <c r="I3" s="1"/>
      <c r="J3" s="1"/>
      <c r="K3" s="1"/>
    </row>
    <row r="4" ht="11.25" customHeight="1">
      <c r="A4" s="1" t="s">
        <v>2</v>
      </c>
      <c r="B4" s="1"/>
      <c r="C4" s="1">
        <v>87.24</v>
      </c>
      <c r="D4" s="1"/>
      <c r="E4" s="1"/>
      <c r="F4" s="1"/>
      <c r="G4" s="1"/>
      <c r="H4" s="1"/>
      <c r="I4" s="1"/>
      <c r="J4" s="1"/>
      <c r="K4" s="1"/>
    </row>
    <row r="5" ht="11.25" customHeight="1">
      <c r="A5" s="1" t="s">
        <v>3</v>
      </c>
      <c r="B5" s="1"/>
      <c r="C5" s="1">
        <v>-269.03</v>
      </c>
      <c r="D5" s="1"/>
      <c r="E5" s="1"/>
      <c r="F5" s="1"/>
      <c r="G5" s="1"/>
      <c r="H5" s="1"/>
      <c r="I5" s="1"/>
      <c r="J5" s="1"/>
      <c r="K5" s="1"/>
    </row>
    <row r="6" ht="11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1.25" customHeight="1">
      <c r="A7" s="1" t="s">
        <v>4</v>
      </c>
      <c r="B7" s="1"/>
      <c r="C7" s="1" t="str">
        <f>(C3* -1) +C4+(C5* -1)</f>
        <v>1124.93</v>
      </c>
      <c r="D7" s="1"/>
      <c r="E7" s="1"/>
      <c r="F7" s="1"/>
      <c r="G7" s="1"/>
      <c r="H7" s="1"/>
      <c r="I7" s="1"/>
      <c r="J7" s="1"/>
      <c r="K7" s="1"/>
    </row>
    <row r="8" ht="11.25" customHeight="1">
      <c r="A8" s="1" t="s">
        <v>5</v>
      </c>
      <c r="B8" s="1"/>
      <c r="C8" s="1" t="str">
        <f>SUM(C3:C5)</f>
        <v>-950.45</v>
      </c>
      <c r="D8" s="1"/>
      <c r="E8" s="1"/>
      <c r="F8" s="1"/>
      <c r="G8" s="1"/>
      <c r="H8" s="1"/>
      <c r="I8" s="1"/>
      <c r="J8" s="1"/>
      <c r="K8" s="1"/>
    </row>
    <row r="9" ht="11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1.25" customHeight="1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11.25" customHeight="1">
      <c r="A11" s="2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1.25" customHeight="1">
      <c r="A12" s="4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1.25" customHeight="1">
      <c r="A13" s="4" t="s">
        <v>9</v>
      </c>
      <c r="B13" s="3"/>
      <c r="C13" s="3"/>
      <c r="D13" s="4"/>
      <c r="E13" s="4"/>
      <c r="F13" s="3"/>
      <c r="G13" s="3"/>
      <c r="H13" s="3"/>
      <c r="I13" s="3"/>
      <c r="J13" s="3"/>
      <c r="K13" s="3"/>
    </row>
    <row r="14" ht="11.25" customHeight="1">
      <c r="A14" s="5"/>
      <c r="B14" s="1"/>
      <c r="C14" s="1"/>
      <c r="D14" s="5"/>
      <c r="E14" s="5"/>
      <c r="F14" s="1"/>
      <c r="G14" s="1"/>
      <c r="H14" s="1"/>
      <c r="I14" s="1"/>
      <c r="J14" s="1"/>
      <c r="K14" s="1"/>
    </row>
    <row r="15" ht="11.25" customHeight="1">
      <c r="A15" s="5" t="s">
        <v>10</v>
      </c>
      <c r="B15" s="1"/>
      <c r="C15" s="1"/>
      <c r="D15" s="5">
        <v>56837.0</v>
      </c>
      <c r="E15" s="5" t="s">
        <v>11</v>
      </c>
      <c r="F15" s="1"/>
      <c r="G15" s="1"/>
      <c r="H15" s="1"/>
      <c r="I15" s="1"/>
      <c r="J15" s="1"/>
      <c r="K15" s="1"/>
    </row>
    <row r="16" ht="11.25" customHeight="1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1.25" customHeight="1">
      <c r="A17" s="5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1.25" customHeight="1">
      <c r="A18" s="1"/>
      <c r="B18" s="1"/>
      <c r="C18" s="5" t="s">
        <v>13</v>
      </c>
      <c r="D18" s="5">
        <v>4786.0</v>
      </c>
      <c r="E18" s="1"/>
      <c r="F18" s="1"/>
      <c r="G18" s="1"/>
      <c r="H18" s="1"/>
      <c r="I18" s="1"/>
      <c r="J18" s="1"/>
      <c r="K18" s="1"/>
    </row>
    <row r="19" ht="11.25" customHeight="1">
      <c r="A19" s="1"/>
      <c r="B19" s="1"/>
      <c r="C19" s="5" t="s">
        <v>14</v>
      </c>
      <c r="D19" s="5">
        <v>25129.0</v>
      </c>
      <c r="E19" s="1"/>
      <c r="F19" s="1"/>
      <c r="G19" s="1"/>
      <c r="H19" s="1"/>
      <c r="I19" s="1"/>
      <c r="J19" s="1"/>
      <c r="K19" s="1"/>
    </row>
    <row r="20" ht="11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1.25" customHeight="1">
      <c r="A21" s="5" t="s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1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1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1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1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1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1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1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1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1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1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1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1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1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1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1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1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1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1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1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1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1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1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1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1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1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1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1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1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1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1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1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1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1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1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1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1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1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1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1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1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1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1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1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1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1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1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1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1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1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1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1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1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1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1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1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1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1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1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1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1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1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1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1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1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1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1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1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1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1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1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1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1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1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1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1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1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1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1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1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1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</sheetData>
  <printOptions/>
  <pageMargins bottom="0.75" footer="0.0" header="0.0" left="0.7" right="0.7" top="0.75"/>
  <pageSetup orientation="landscape"/>
  <drawing r:id="rId1"/>
</worksheet>
</file>